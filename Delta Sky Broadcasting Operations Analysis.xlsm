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ind\Downloads\"/>
    </mc:Choice>
  </mc:AlternateContent>
  <xr:revisionPtr revIDLastSave="0" documentId="13_ncr:1_{D7AF1434-FFAC-474B-B02E-9FAF9C2CA45C}" xr6:coauthVersionLast="47" xr6:coauthVersionMax="47" xr10:uidLastSave="{00000000-0000-0000-0000-000000000000}"/>
  <bookViews>
    <workbookView xWindow="-108" yWindow="-108" windowWidth="23256" windowHeight="12456" activeTab="6" xr2:uid="{2635395F-4295-4B5B-B72B-A3F4AD361D20}"/>
  </bookViews>
  <sheets>
    <sheet name="Data" sheetId="1" r:id="rId1"/>
    <sheet name="Section_2" sheetId="5" r:id="rId2"/>
    <sheet name="Section_3" sheetId="3" r:id="rId3"/>
    <sheet name="Section_4" sheetId="6" r:id="rId4"/>
    <sheet name="Answer Report 1" sheetId="8" r:id="rId5"/>
    <sheet name="Section_5" sheetId="7" r:id="rId6"/>
    <sheet name="Section_6" sheetId="9" r:id="rId7"/>
    <sheet name="Sheet1" sheetId="10" r:id="rId8"/>
  </sheets>
  <definedNames>
    <definedName name="solver_adj" localSheetId="5" hidden="1">Section_5!$B$10:$F$14</definedName>
    <definedName name="solver_cvg" localSheetId="5" hidden="1">0.0001</definedName>
    <definedName name="solver_drv" localSheetId="5" hidden="1">1</definedName>
    <definedName name="solver_eng" localSheetId="5" hidden="1">2</definedName>
    <definedName name="solver_est" localSheetId="5" hidden="1">1</definedName>
    <definedName name="solver_itr" localSheetId="5" hidden="1">2147483647</definedName>
    <definedName name="solver_lhs1" localSheetId="5" hidden="1">Section_5!$B$10:$F$14</definedName>
    <definedName name="solver_lhs2" localSheetId="5" hidden="1">Section_5!$B$19:$F$19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2</definedName>
    <definedName name="solver_nwt" localSheetId="5" hidden="1">1</definedName>
    <definedName name="solver_opt" localSheetId="5" hidden="1">Section_5!$B$16</definedName>
    <definedName name="solver_pre" localSheetId="5" hidden="1">0.000001</definedName>
    <definedName name="solver_rbv" localSheetId="5" hidden="1">1</definedName>
    <definedName name="solver_rel1" localSheetId="5" hidden="1">5</definedName>
    <definedName name="solver_rel2" localSheetId="5" hidden="1">2</definedName>
    <definedName name="solver_rhs1" localSheetId="5" hidden="1">"binary"</definedName>
    <definedName name="solver_rhs2" localSheetId="5" hidden="1">Section_5!$G$19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  <definedName name="tblCalls">Table1[]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9" l="1"/>
  <c r="L2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J2" i="9"/>
  <c r="F3" i="9"/>
  <c r="F2" i="9"/>
  <c r="K2" i="9" s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3" i="9"/>
  <c r="D3" i="9" s="1"/>
  <c r="D4" i="9" s="1"/>
  <c r="D5" i="9" s="1"/>
  <c r="D6" i="9" s="1"/>
  <c r="D7" i="9" s="1"/>
  <c r="D8" i="9" s="1"/>
  <c r="D9" i="9" s="1"/>
  <c r="D10" i="9" s="1"/>
  <c r="D11" i="9" s="1"/>
  <c r="D12" i="9" s="1"/>
  <c r="D13" i="9" s="1"/>
  <c r="D14" i="9" s="1"/>
  <c r="D15" i="9" s="1"/>
  <c r="D16" i="9" s="1"/>
  <c r="H2" i="9" l="1"/>
  <c r="B16" i="7"/>
  <c r="D19" i="7"/>
  <c r="E19" i="7"/>
  <c r="F19" i="7"/>
  <c r="C19" i="7"/>
  <c r="B19" i="7"/>
  <c r="J66" i="3"/>
  <c r="J65" i="3"/>
  <c r="J64" i="3"/>
  <c r="I66" i="3"/>
  <c r="I65" i="3"/>
  <c r="I64" i="3"/>
  <c r="H66" i="3"/>
  <c r="H65" i="3"/>
  <c r="H64" i="3"/>
  <c r="G64" i="3"/>
  <c r="F3" i="6"/>
  <c r="F4" i="6"/>
  <c r="F5" i="6"/>
  <c r="F6" i="6"/>
  <c r="F7" i="6"/>
  <c r="G7" i="6" s="1"/>
  <c r="F8" i="6"/>
  <c r="F2" i="6"/>
  <c r="D3" i="6"/>
  <c r="D4" i="6"/>
  <c r="D5" i="6"/>
  <c r="D6" i="6"/>
  <c r="D7" i="6"/>
  <c r="D8" i="6"/>
  <c r="D2" i="6"/>
  <c r="A4" i="6"/>
  <c r="B4" i="6"/>
  <c r="B5" i="6" s="1"/>
  <c r="B6" i="6" s="1"/>
  <c r="B7" i="6" s="1"/>
  <c r="B8" i="6" s="1"/>
  <c r="A5" i="6"/>
  <c r="A6" i="6" s="1"/>
  <c r="A7" i="6" s="1"/>
  <c r="A8" i="6" s="1"/>
  <c r="A3" i="6"/>
  <c r="M2" i="6"/>
  <c r="L2" i="6"/>
  <c r="J2" i="6"/>
  <c r="H2" i="6"/>
  <c r="B3" i="6"/>
  <c r="E3" i="3"/>
  <c r="G3" i="3" s="1"/>
  <c r="E4" i="3"/>
  <c r="F4" i="3" s="1"/>
  <c r="E5" i="3"/>
  <c r="G5" i="3" s="1"/>
  <c r="E6" i="3"/>
  <c r="G6" i="3" s="1"/>
  <c r="E7" i="3"/>
  <c r="F7" i="3" s="1"/>
  <c r="E8" i="3"/>
  <c r="G8" i="3" s="1"/>
  <c r="E2" i="3"/>
  <c r="F2" i="3" s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2" i="3"/>
  <c r="D52" i="3"/>
  <c r="E52" i="3" s="1"/>
  <c r="D53" i="3"/>
  <c r="E53" i="3" s="1"/>
  <c r="D54" i="3"/>
  <c r="E54" i="3" s="1"/>
  <c r="D55" i="3"/>
  <c r="E55" i="3" s="1"/>
  <c r="D56" i="3"/>
  <c r="E56" i="3" s="1"/>
  <c r="D57" i="3"/>
  <c r="E57" i="3" s="1"/>
  <c r="D51" i="3"/>
  <c r="E51" i="3" s="1"/>
  <c r="D10" i="3"/>
  <c r="E10" i="3" s="1"/>
  <c r="F10" i="3" s="1"/>
  <c r="D11" i="3"/>
  <c r="E11" i="3" s="1"/>
  <c r="D12" i="3"/>
  <c r="E12" i="3" s="1"/>
  <c r="F12" i="3" s="1"/>
  <c r="D13" i="3"/>
  <c r="E13" i="3" s="1"/>
  <c r="F13" i="3" s="1"/>
  <c r="D14" i="3"/>
  <c r="E14" i="3" s="1"/>
  <c r="D15" i="3"/>
  <c r="E15" i="3" s="1"/>
  <c r="G15" i="3" s="1"/>
  <c r="D16" i="3"/>
  <c r="E16" i="3" s="1"/>
  <c r="D17" i="3"/>
  <c r="E17" i="3" s="1"/>
  <c r="D18" i="3"/>
  <c r="E18" i="3" s="1"/>
  <c r="D19" i="3"/>
  <c r="E19" i="3" s="1"/>
  <c r="D20" i="3"/>
  <c r="E20" i="3" s="1"/>
  <c r="D21" i="3"/>
  <c r="E21" i="3" s="1"/>
  <c r="D22" i="3"/>
  <c r="E22" i="3" s="1"/>
  <c r="F22" i="3" s="1"/>
  <c r="D23" i="3"/>
  <c r="E23" i="3" s="1"/>
  <c r="D24" i="3"/>
  <c r="E24" i="3" s="1"/>
  <c r="F24" i="3" s="1"/>
  <c r="D25" i="3"/>
  <c r="E25" i="3" s="1"/>
  <c r="F25" i="3" s="1"/>
  <c r="D26" i="3"/>
  <c r="E26" i="3" s="1"/>
  <c r="D27" i="3"/>
  <c r="E27" i="3" s="1"/>
  <c r="G27" i="3" s="1"/>
  <c r="D28" i="3"/>
  <c r="E28" i="3" s="1"/>
  <c r="D29" i="3"/>
  <c r="E29" i="3" s="1"/>
  <c r="D30" i="3"/>
  <c r="E30" i="3" s="1"/>
  <c r="D31" i="3"/>
  <c r="E31" i="3" s="1"/>
  <c r="D32" i="3"/>
  <c r="E32" i="3" s="1"/>
  <c r="D33" i="3"/>
  <c r="E33" i="3" s="1"/>
  <c r="D34" i="3"/>
  <c r="E34" i="3" s="1"/>
  <c r="F34" i="3" s="1"/>
  <c r="D35" i="3"/>
  <c r="E35" i="3" s="1"/>
  <c r="D36" i="3"/>
  <c r="E36" i="3" s="1"/>
  <c r="F36" i="3" s="1"/>
  <c r="D37" i="3"/>
  <c r="E37" i="3" s="1"/>
  <c r="F37" i="3" s="1"/>
  <c r="D38" i="3"/>
  <c r="E38" i="3" s="1"/>
  <c r="F38" i="3" s="1"/>
  <c r="D39" i="3"/>
  <c r="E39" i="3" s="1"/>
  <c r="G39" i="3" s="1"/>
  <c r="D40" i="3"/>
  <c r="E40" i="3" s="1"/>
  <c r="D41" i="3"/>
  <c r="E41" i="3" s="1"/>
  <c r="D42" i="3"/>
  <c r="E42" i="3" s="1"/>
  <c r="D43" i="3"/>
  <c r="E43" i="3" s="1"/>
  <c r="D44" i="3"/>
  <c r="E44" i="3" s="1"/>
  <c r="D45" i="3"/>
  <c r="E45" i="3" s="1"/>
  <c r="D46" i="3"/>
  <c r="E46" i="3" s="1"/>
  <c r="F46" i="3" s="1"/>
  <c r="D47" i="3"/>
  <c r="E47" i="3" s="1"/>
  <c r="D48" i="3"/>
  <c r="E48" i="3" s="1"/>
  <c r="F48" i="3" s="1"/>
  <c r="D49" i="3"/>
  <c r="E49" i="3" s="1"/>
  <c r="F49" i="3" s="1"/>
  <c r="D50" i="3"/>
  <c r="E50" i="3" s="1"/>
  <c r="D9" i="3"/>
  <c r="E9" i="3" s="1"/>
  <c r="G9" i="3" s="1"/>
  <c r="L28" i="5"/>
  <c r="M28" i="5"/>
  <c r="N28" i="5"/>
  <c r="O28" i="5"/>
  <c r="P28" i="5"/>
  <c r="Q28" i="5"/>
  <c r="K28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2" i="5"/>
  <c r="D37" i="5"/>
  <c r="C6" i="5"/>
  <c r="D6" i="5" s="1"/>
  <c r="C7" i="5"/>
  <c r="D7" i="5" s="1"/>
  <c r="C8" i="5"/>
  <c r="D8" i="5" s="1"/>
  <c r="C9" i="5"/>
  <c r="D9" i="5" s="1"/>
  <c r="C10" i="5"/>
  <c r="D10" i="5" s="1"/>
  <c r="C11" i="5"/>
  <c r="D11" i="5" s="1"/>
  <c r="C12" i="5"/>
  <c r="D12" i="5" s="1"/>
  <c r="C13" i="5"/>
  <c r="D13" i="5" s="1"/>
  <c r="C14" i="5"/>
  <c r="D14" i="5" s="1"/>
  <c r="C15" i="5"/>
  <c r="D15" i="5" s="1"/>
  <c r="C16" i="5"/>
  <c r="D16" i="5" s="1"/>
  <c r="C17" i="5"/>
  <c r="D17" i="5" s="1"/>
  <c r="C18" i="5"/>
  <c r="D18" i="5" s="1"/>
  <c r="C19" i="5"/>
  <c r="D19" i="5" s="1"/>
  <c r="C20" i="5"/>
  <c r="D20" i="5" s="1"/>
  <c r="C21" i="5"/>
  <c r="D21" i="5" s="1"/>
  <c r="C22" i="5"/>
  <c r="D22" i="5" s="1"/>
  <c r="C23" i="5"/>
  <c r="D23" i="5" s="1"/>
  <c r="C24" i="5"/>
  <c r="D24" i="5" s="1"/>
  <c r="C25" i="5"/>
  <c r="D25" i="5" s="1"/>
  <c r="C26" i="5"/>
  <c r="D26" i="5" s="1"/>
  <c r="C27" i="5"/>
  <c r="D27" i="5" s="1"/>
  <c r="C28" i="5"/>
  <c r="D28" i="5" s="1"/>
  <c r="C29" i="5"/>
  <c r="D29" i="5" s="1"/>
  <c r="C30" i="5"/>
  <c r="D30" i="5" s="1"/>
  <c r="C31" i="5"/>
  <c r="D31" i="5" s="1"/>
  <c r="C32" i="5"/>
  <c r="D32" i="5" s="1"/>
  <c r="C33" i="5"/>
  <c r="D33" i="5" s="1"/>
  <c r="C34" i="5"/>
  <c r="D34" i="5" s="1"/>
  <c r="C35" i="5"/>
  <c r="D35" i="5" s="1"/>
  <c r="C36" i="5"/>
  <c r="D36" i="5" s="1"/>
  <c r="C37" i="5"/>
  <c r="C38" i="5"/>
  <c r="D38" i="5" s="1"/>
  <c r="C39" i="5"/>
  <c r="D39" i="5" s="1"/>
  <c r="C40" i="5"/>
  <c r="D40" i="5" s="1"/>
  <c r="C41" i="5"/>
  <c r="D41" i="5" s="1"/>
  <c r="C42" i="5"/>
  <c r="D42" i="5" s="1"/>
  <c r="C43" i="5"/>
  <c r="D43" i="5" s="1"/>
  <c r="C44" i="5"/>
  <c r="D44" i="5" s="1"/>
  <c r="C45" i="5"/>
  <c r="D45" i="5" s="1"/>
  <c r="C46" i="5"/>
  <c r="D46" i="5" s="1"/>
  <c r="C47" i="5"/>
  <c r="D47" i="5" s="1"/>
  <c r="C48" i="5"/>
  <c r="D48" i="5" s="1"/>
  <c r="C49" i="5"/>
  <c r="D49" i="5" s="1"/>
  <c r="C50" i="5"/>
  <c r="D50" i="5" s="1"/>
  <c r="C51" i="5"/>
  <c r="D51" i="5" s="1"/>
  <c r="C52" i="5"/>
  <c r="D52" i="5" s="1"/>
  <c r="C53" i="5"/>
  <c r="D53" i="5" s="1"/>
  <c r="C54" i="5"/>
  <c r="D54" i="5" s="1"/>
  <c r="C55" i="5"/>
  <c r="D55" i="5" s="1"/>
  <c r="C56" i="5"/>
  <c r="D56" i="5" s="1"/>
  <c r="C57" i="5"/>
  <c r="D57" i="5" s="1"/>
  <c r="C5" i="5"/>
  <c r="D5" i="5" s="1"/>
  <c r="L54" i="3"/>
  <c r="L5" i="3"/>
  <c r="L20" i="3"/>
  <c r="L11" i="3"/>
  <c r="L14" i="3"/>
  <c r="L8" i="3"/>
  <c r="L26" i="3"/>
  <c r="L35" i="3"/>
  <c r="L50" i="3"/>
  <c r="L52" i="3"/>
  <c r="L17" i="3"/>
  <c r="L38" i="3"/>
  <c r="L51" i="3"/>
  <c r="L28" i="3"/>
  <c r="L56" i="3"/>
  <c r="L29" i="3"/>
  <c r="L57" i="3"/>
  <c r="L41" i="3"/>
  <c r="L44" i="3"/>
  <c r="L25" i="3"/>
  <c r="L3" i="3"/>
  <c r="L6" i="3"/>
  <c r="L9" i="3"/>
  <c r="L12" i="3"/>
  <c r="L2" i="3"/>
  <c r="L10" i="3"/>
  <c r="L15" i="3"/>
  <c r="L18" i="3"/>
  <c r="L21" i="3"/>
  <c r="L24" i="3"/>
  <c r="L4" i="3"/>
  <c r="L37" i="3"/>
  <c r="L27" i="3"/>
  <c r="L30" i="3"/>
  <c r="L33" i="3"/>
  <c r="L36" i="3"/>
  <c r="L19" i="3"/>
  <c r="L39" i="3"/>
  <c r="L42" i="3"/>
  <c r="L45" i="3"/>
  <c r="L48" i="3"/>
  <c r="L7" i="3"/>
  <c r="L16" i="3"/>
  <c r="L31" i="3"/>
  <c r="L13" i="3"/>
  <c r="L22" i="3"/>
  <c r="L34" i="3"/>
  <c r="L53" i="3"/>
  <c r="L40" i="3"/>
  <c r="L43" i="3"/>
  <c r="L46" i="3"/>
  <c r="L49" i="3"/>
  <c r="L55" i="3"/>
  <c r="L23" i="3"/>
  <c r="L32" i="3"/>
  <c r="L47" i="3"/>
  <c r="J3" i="9" l="1"/>
  <c r="G3" i="9"/>
  <c r="G8" i="6"/>
  <c r="G4" i="6"/>
  <c r="G5" i="6"/>
  <c r="G3" i="6"/>
  <c r="G6" i="6"/>
  <c r="F64" i="3"/>
  <c r="E64" i="3"/>
  <c r="G2" i="6"/>
  <c r="F6" i="3"/>
  <c r="F5" i="3"/>
  <c r="F8" i="3"/>
  <c r="G57" i="3"/>
  <c r="F57" i="3"/>
  <c r="F50" i="3"/>
  <c r="G50" i="3"/>
  <c r="F26" i="3"/>
  <c r="G26" i="3"/>
  <c r="F14" i="3"/>
  <c r="G14" i="3"/>
  <c r="F9" i="3"/>
  <c r="G38" i="3"/>
  <c r="G7" i="3"/>
  <c r="G4" i="3"/>
  <c r="M2" i="3"/>
  <c r="M50" i="3"/>
  <c r="M38" i="3"/>
  <c r="M26" i="3"/>
  <c r="M14" i="3"/>
  <c r="M49" i="3"/>
  <c r="M37" i="3"/>
  <c r="M25" i="3"/>
  <c r="M13" i="3"/>
  <c r="M48" i="3"/>
  <c r="M36" i="3"/>
  <c r="M24" i="3"/>
  <c r="M12" i="3"/>
  <c r="M47" i="3"/>
  <c r="M35" i="3"/>
  <c r="M23" i="3"/>
  <c r="M11" i="3"/>
  <c r="M46" i="3"/>
  <c r="M34" i="3"/>
  <c r="M22" i="3"/>
  <c r="M10" i="3"/>
  <c r="M45" i="3"/>
  <c r="M33" i="3"/>
  <c r="M21" i="3"/>
  <c r="M9" i="3"/>
  <c r="M44" i="3"/>
  <c r="M32" i="3"/>
  <c r="M8" i="3"/>
  <c r="M20" i="3"/>
  <c r="M43" i="3"/>
  <c r="M31" i="3"/>
  <c r="M19" i="3"/>
  <c r="M7" i="3"/>
  <c r="M42" i="3"/>
  <c r="M30" i="3"/>
  <c r="M18" i="3"/>
  <c r="M6" i="3"/>
  <c r="M41" i="3"/>
  <c r="M29" i="3"/>
  <c r="M17" i="3"/>
  <c r="M5" i="3"/>
  <c r="M40" i="3"/>
  <c r="M28" i="3"/>
  <c r="M16" i="3"/>
  <c r="M4" i="3"/>
  <c r="M39" i="3"/>
  <c r="M27" i="3"/>
  <c r="M15" i="3"/>
  <c r="M3" i="3"/>
  <c r="M57" i="3"/>
  <c r="M56" i="3"/>
  <c r="M55" i="3"/>
  <c r="M54" i="3"/>
  <c r="M53" i="3"/>
  <c r="M52" i="3"/>
  <c r="M51" i="3"/>
  <c r="F47" i="3"/>
  <c r="G47" i="3"/>
  <c r="F35" i="3"/>
  <c r="G35" i="3"/>
  <c r="F23" i="3"/>
  <c r="G23" i="3"/>
  <c r="F11" i="3"/>
  <c r="G11" i="3"/>
  <c r="F45" i="3"/>
  <c r="G45" i="3"/>
  <c r="F33" i="3"/>
  <c r="G33" i="3"/>
  <c r="F21" i="3"/>
  <c r="G21" i="3"/>
  <c r="G51" i="3"/>
  <c r="F51" i="3"/>
  <c r="F44" i="3"/>
  <c r="G44" i="3"/>
  <c r="F32" i="3"/>
  <c r="G32" i="3"/>
  <c r="F20" i="3"/>
  <c r="G20" i="3"/>
  <c r="F43" i="3"/>
  <c r="G43" i="3"/>
  <c r="F31" i="3"/>
  <c r="G31" i="3"/>
  <c r="F19" i="3"/>
  <c r="G19" i="3"/>
  <c r="F56" i="3"/>
  <c r="G56" i="3"/>
  <c r="G42" i="3"/>
  <c r="F42" i="3"/>
  <c r="G30" i="3"/>
  <c r="F30" i="3"/>
  <c r="G18" i="3"/>
  <c r="F18" i="3"/>
  <c r="F55" i="3"/>
  <c r="G55" i="3"/>
  <c r="G41" i="3"/>
  <c r="F41" i="3"/>
  <c r="G29" i="3"/>
  <c r="F29" i="3"/>
  <c r="G17" i="3"/>
  <c r="F17" i="3"/>
  <c r="G54" i="3"/>
  <c r="F54" i="3"/>
  <c r="G40" i="3"/>
  <c r="F40" i="3"/>
  <c r="G28" i="3"/>
  <c r="F28" i="3"/>
  <c r="G16" i="3"/>
  <c r="F16" i="3"/>
  <c r="G53" i="3"/>
  <c r="F53" i="3"/>
  <c r="G52" i="3"/>
  <c r="F52" i="3"/>
  <c r="G25" i="3"/>
  <c r="G48" i="3"/>
  <c r="G36" i="3"/>
  <c r="G24" i="3"/>
  <c r="G12" i="3"/>
  <c r="F39" i="3"/>
  <c r="F27" i="3"/>
  <c r="F15" i="3"/>
  <c r="F3" i="3"/>
  <c r="G49" i="3"/>
  <c r="G13" i="3"/>
  <c r="G2" i="3"/>
  <c r="G46" i="3"/>
  <c r="G34" i="3"/>
  <c r="G22" i="3"/>
  <c r="G10" i="3"/>
  <c r="G37" i="3"/>
  <c r="T2" i="3"/>
  <c r="H8" i="3" s="1"/>
  <c r="I8" i="3" s="1"/>
  <c r="T8" i="3"/>
  <c r="H42" i="3" s="1"/>
  <c r="I42" i="3" s="1"/>
  <c r="T7" i="3"/>
  <c r="H41" i="3" s="1"/>
  <c r="I41" i="3" s="1"/>
  <c r="T3" i="3"/>
  <c r="H23" i="3" s="1"/>
  <c r="I23" i="3" s="1"/>
  <c r="T6" i="3"/>
  <c r="H5" i="3" s="1"/>
  <c r="I5" i="3" s="1"/>
  <c r="T5" i="3"/>
  <c r="H11" i="3" s="1"/>
  <c r="I11" i="3" s="1"/>
  <c r="T4" i="3"/>
  <c r="H10" i="3" s="1"/>
  <c r="I10" i="3" s="1"/>
  <c r="K3" i="9" l="1"/>
  <c r="I3" i="9" s="1"/>
  <c r="L3" i="9"/>
  <c r="M3" i="9"/>
  <c r="H3" i="9"/>
  <c r="E65" i="3"/>
  <c r="E66" i="3"/>
  <c r="F65" i="3"/>
  <c r="F66" i="3"/>
  <c r="N2" i="6"/>
  <c r="Q2" i="6" s="1"/>
  <c r="O2" i="6"/>
  <c r="P2" i="6" s="1"/>
  <c r="O15" i="3"/>
  <c r="N15" i="3"/>
  <c r="J8" i="3"/>
  <c r="K8" i="3"/>
  <c r="O39" i="3"/>
  <c r="N39" i="3"/>
  <c r="N42" i="3"/>
  <c r="O42" i="3"/>
  <c r="N45" i="3"/>
  <c r="O45" i="3"/>
  <c r="N48" i="3"/>
  <c r="O48" i="3"/>
  <c r="N21" i="3"/>
  <c r="O21" i="3"/>
  <c r="K5" i="3"/>
  <c r="J5" i="3"/>
  <c r="O51" i="3"/>
  <c r="N51" i="3"/>
  <c r="O16" i="3"/>
  <c r="N16" i="3"/>
  <c r="N19" i="3"/>
  <c r="O19" i="3"/>
  <c r="N22" i="3"/>
  <c r="O22" i="3"/>
  <c r="N25" i="3"/>
  <c r="O25" i="3"/>
  <c r="J42" i="3"/>
  <c r="K42" i="3"/>
  <c r="N30" i="3"/>
  <c r="O30" i="3"/>
  <c r="H50" i="3"/>
  <c r="I50" i="3" s="1"/>
  <c r="O52" i="3"/>
  <c r="N52" i="3"/>
  <c r="H29" i="3"/>
  <c r="I29" i="3" s="1"/>
  <c r="O53" i="3"/>
  <c r="N53" i="3"/>
  <c r="O40" i="3"/>
  <c r="N40" i="3"/>
  <c r="N43" i="3"/>
  <c r="O43" i="3"/>
  <c r="N46" i="3"/>
  <c r="O46" i="3"/>
  <c r="O49" i="3"/>
  <c r="N49" i="3"/>
  <c r="J10" i="3"/>
  <c r="K10" i="3"/>
  <c r="O4" i="3"/>
  <c r="N4" i="3"/>
  <c r="O28" i="3"/>
  <c r="N28" i="3"/>
  <c r="H15" i="3"/>
  <c r="I15" i="3" s="1"/>
  <c r="N54" i="3"/>
  <c r="O54" i="3"/>
  <c r="O5" i="3"/>
  <c r="N5" i="3"/>
  <c r="N20" i="3"/>
  <c r="O20" i="3"/>
  <c r="N11" i="3"/>
  <c r="O11" i="3"/>
  <c r="O14" i="3"/>
  <c r="N14" i="3"/>
  <c r="N24" i="3"/>
  <c r="O24" i="3"/>
  <c r="O36" i="3"/>
  <c r="N36" i="3"/>
  <c r="N10" i="3"/>
  <c r="O10" i="3"/>
  <c r="N31" i="3"/>
  <c r="O31" i="3"/>
  <c r="H43" i="3"/>
  <c r="I43" i="3" s="1"/>
  <c r="N55" i="3"/>
  <c r="O55" i="3"/>
  <c r="O17" i="3"/>
  <c r="N17" i="3"/>
  <c r="N8" i="3"/>
  <c r="O8" i="3"/>
  <c r="N23" i="3"/>
  <c r="O23" i="3"/>
  <c r="O26" i="3"/>
  <c r="N26" i="3"/>
  <c r="K41" i="3"/>
  <c r="J41" i="3"/>
  <c r="N18" i="3"/>
  <c r="O18" i="3"/>
  <c r="O27" i="3"/>
  <c r="N27" i="3"/>
  <c r="N33" i="3"/>
  <c r="O33" i="3"/>
  <c r="N13" i="3"/>
  <c r="O13" i="3"/>
  <c r="O37" i="3"/>
  <c r="N37" i="3"/>
  <c r="H57" i="3"/>
  <c r="I57" i="3" s="1"/>
  <c r="N56" i="3"/>
  <c r="O56" i="3"/>
  <c r="N29" i="3"/>
  <c r="O29" i="3"/>
  <c r="N32" i="3"/>
  <c r="O32" i="3"/>
  <c r="N35" i="3"/>
  <c r="O35" i="3"/>
  <c r="O38" i="3"/>
  <c r="N38" i="3"/>
  <c r="J11" i="3"/>
  <c r="K11" i="3"/>
  <c r="N7" i="3"/>
  <c r="O7" i="3"/>
  <c r="N34" i="3"/>
  <c r="O34" i="3"/>
  <c r="H22" i="3"/>
  <c r="I22" i="3" s="1"/>
  <c r="N57" i="3"/>
  <c r="O57" i="3"/>
  <c r="N41" i="3"/>
  <c r="O41" i="3"/>
  <c r="N44" i="3"/>
  <c r="O44" i="3"/>
  <c r="N47" i="3"/>
  <c r="O47" i="3"/>
  <c r="O50" i="3"/>
  <c r="N50" i="3"/>
  <c r="J23" i="3"/>
  <c r="K23" i="3"/>
  <c r="O3" i="3"/>
  <c r="N3" i="3"/>
  <c r="N6" i="3"/>
  <c r="O6" i="3"/>
  <c r="N9" i="3"/>
  <c r="O9" i="3"/>
  <c r="N12" i="3"/>
  <c r="O12" i="3"/>
  <c r="N2" i="3"/>
  <c r="O2" i="3"/>
  <c r="H36" i="3"/>
  <c r="I36" i="3" s="1"/>
  <c r="H35" i="3"/>
  <c r="I35" i="3" s="1"/>
  <c r="H6" i="3"/>
  <c r="I6" i="3" s="1"/>
  <c r="H55" i="3"/>
  <c r="I55" i="3" s="1"/>
  <c r="H27" i="3"/>
  <c r="I27" i="3" s="1"/>
  <c r="H20" i="3"/>
  <c r="I20" i="3" s="1"/>
  <c r="H37" i="3"/>
  <c r="I37" i="3" s="1"/>
  <c r="H44" i="3"/>
  <c r="I44" i="3" s="1"/>
  <c r="H49" i="3"/>
  <c r="I49" i="3" s="1"/>
  <c r="H56" i="3"/>
  <c r="I56" i="3" s="1"/>
  <c r="H14" i="3"/>
  <c r="I14" i="3" s="1"/>
  <c r="H7" i="3"/>
  <c r="I7" i="3" s="1"/>
  <c r="H51" i="3"/>
  <c r="I51" i="3" s="1"/>
  <c r="H9" i="3"/>
  <c r="I9" i="3" s="1"/>
  <c r="H30" i="3"/>
  <c r="I30" i="3" s="1"/>
  <c r="H21" i="3"/>
  <c r="I21" i="3" s="1"/>
  <c r="H2" i="3"/>
  <c r="I2" i="3" s="1"/>
  <c r="H48" i="3"/>
  <c r="I48" i="3" s="1"/>
  <c r="H16" i="3"/>
  <c r="I16" i="3" s="1"/>
  <c r="H34" i="3"/>
  <c r="I34" i="3" s="1"/>
  <c r="H28" i="3"/>
  <c r="I28" i="3" s="1"/>
  <c r="H13" i="3"/>
  <c r="I13" i="3" s="1"/>
  <c r="H52" i="3"/>
  <c r="I52" i="3" s="1"/>
  <c r="H32" i="3"/>
  <c r="I32" i="3" s="1"/>
  <c r="H19" i="3"/>
  <c r="I19" i="3" s="1"/>
  <c r="H3" i="3"/>
  <c r="I3" i="3" s="1"/>
  <c r="H31" i="3"/>
  <c r="I31" i="3" s="1"/>
  <c r="H39" i="3"/>
  <c r="I39" i="3" s="1"/>
  <c r="H33" i="3"/>
  <c r="I33" i="3" s="1"/>
  <c r="H54" i="3"/>
  <c r="I54" i="3" s="1"/>
  <c r="H12" i="3"/>
  <c r="I12" i="3" s="1"/>
  <c r="H40" i="3"/>
  <c r="I40" i="3" s="1"/>
  <c r="H45" i="3"/>
  <c r="I45" i="3" s="1"/>
  <c r="H18" i="3"/>
  <c r="I18" i="3" s="1"/>
  <c r="H25" i="3"/>
  <c r="I25" i="3" s="1"/>
  <c r="H17" i="3"/>
  <c r="I17" i="3" s="1"/>
  <c r="H47" i="3"/>
  <c r="I47" i="3" s="1"/>
  <c r="H53" i="3"/>
  <c r="I53" i="3" s="1"/>
  <c r="H26" i="3"/>
  <c r="I26" i="3" s="1"/>
  <c r="H24" i="3"/>
  <c r="I24" i="3" s="1"/>
  <c r="H46" i="3"/>
  <c r="I46" i="3" s="1"/>
  <c r="H38" i="3"/>
  <c r="I38" i="3" s="1"/>
  <c r="H4" i="3"/>
  <c r="I4" i="3" s="1"/>
  <c r="G4" i="9" l="1"/>
  <c r="J4" i="9"/>
  <c r="K3" i="6"/>
  <c r="X2" i="6"/>
  <c r="R2" i="6"/>
  <c r="S2" i="6" s="1"/>
  <c r="U2" i="6"/>
  <c r="J7" i="3"/>
  <c r="K7" i="3"/>
  <c r="K14" i="3"/>
  <c r="J14" i="3"/>
  <c r="J56" i="3"/>
  <c r="K56" i="3"/>
  <c r="J43" i="3"/>
  <c r="K43" i="3"/>
  <c r="J45" i="3"/>
  <c r="K45" i="3"/>
  <c r="J49" i="3"/>
  <c r="K49" i="3"/>
  <c r="J57" i="3"/>
  <c r="K57" i="3"/>
  <c r="K28" i="3"/>
  <c r="J28" i="3"/>
  <c r="K40" i="3"/>
  <c r="J40" i="3"/>
  <c r="J34" i="3"/>
  <c r="K34" i="3"/>
  <c r="J44" i="3"/>
  <c r="K44" i="3"/>
  <c r="K17" i="3"/>
  <c r="J17" i="3"/>
  <c r="J25" i="3"/>
  <c r="K25" i="3"/>
  <c r="J13" i="3"/>
  <c r="K13" i="3"/>
  <c r="K29" i="3"/>
  <c r="J29" i="3"/>
  <c r="K4" i="3"/>
  <c r="J4" i="3"/>
  <c r="K37" i="3"/>
  <c r="J37" i="3"/>
  <c r="K50" i="3"/>
  <c r="J50" i="3"/>
  <c r="K52" i="3"/>
  <c r="J52" i="3"/>
  <c r="K16" i="3"/>
  <c r="J16" i="3"/>
  <c r="K38" i="3"/>
  <c r="J38" i="3"/>
  <c r="J54" i="3"/>
  <c r="K54" i="3"/>
  <c r="J48" i="3"/>
  <c r="K48" i="3"/>
  <c r="J20" i="3"/>
  <c r="K20" i="3"/>
  <c r="J32" i="3"/>
  <c r="K32" i="3"/>
  <c r="J18" i="3"/>
  <c r="K18" i="3"/>
  <c r="J12" i="3"/>
  <c r="K12" i="3"/>
  <c r="J46" i="3"/>
  <c r="K46" i="3"/>
  <c r="J33" i="3"/>
  <c r="K33" i="3"/>
  <c r="J2" i="3"/>
  <c r="K2" i="3"/>
  <c r="K27" i="3"/>
  <c r="J27" i="3"/>
  <c r="K24" i="3"/>
  <c r="J24" i="3"/>
  <c r="J21" i="3"/>
  <c r="K21" i="3"/>
  <c r="J55" i="3"/>
  <c r="K55" i="3"/>
  <c r="K26" i="3"/>
  <c r="J26" i="3"/>
  <c r="J31" i="3"/>
  <c r="K31" i="3"/>
  <c r="J30" i="3"/>
  <c r="K30" i="3"/>
  <c r="J6" i="3"/>
  <c r="K6" i="3"/>
  <c r="K15" i="3"/>
  <c r="J15" i="3"/>
  <c r="K39" i="3"/>
  <c r="J39" i="3"/>
  <c r="K53" i="3"/>
  <c r="J53" i="3"/>
  <c r="K3" i="3"/>
  <c r="J3" i="3"/>
  <c r="J9" i="3"/>
  <c r="K9" i="3"/>
  <c r="J35" i="3"/>
  <c r="K35" i="3"/>
  <c r="J22" i="3"/>
  <c r="K22" i="3"/>
  <c r="J47" i="3"/>
  <c r="K47" i="3"/>
  <c r="J19" i="3"/>
  <c r="K19" i="3"/>
  <c r="K51" i="3"/>
  <c r="J51" i="3"/>
  <c r="J36" i="3"/>
  <c r="K36" i="3"/>
  <c r="K4" i="9" l="1"/>
  <c r="L4" i="9"/>
  <c r="M4" i="9"/>
  <c r="I4" i="9"/>
  <c r="G65" i="3"/>
  <c r="G66" i="3"/>
  <c r="T2" i="6"/>
  <c r="I3" i="6" s="1"/>
  <c r="W2" i="6"/>
  <c r="H3" i="6"/>
  <c r="V2" i="6"/>
  <c r="Y2" i="6" l="1"/>
  <c r="J3" i="6"/>
  <c r="L3" i="6" s="1"/>
  <c r="M3" i="6" s="1"/>
  <c r="G5" i="9" l="1"/>
  <c r="J5" i="9"/>
  <c r="O3" i="6"/>
  <c r="P3" i="6" s="1"/>
  <c r="K4" i="6" s="1"/>
  <c r="N3" i="6"/>
  <c r="Q3" i="6" s="1"/>
  <c r="R3" i="6" s="1"/>
  <c r="S3" i="6" s="1"/>
  <c r="K5" i="9" l="1"/>
  <c r="L5" i="9"/>
  <c r="H5" i="9"/>
  <c r="M5" i="9"/>
  <c r="X3" i="6"/>
  <c r="T3" i="6"/>
  <c r="I4" i="6" s="1"/>
  <c r="W3" i="6"/>
  <c r="U3" i="6"/>
  <c r="H4" i="6" s="1"/>
  <c r="I5" i="9" l="1"/>
  <c r="J6" i="9" s="1"/>
  <c r="V3" i="6"/>
  <c r="Y3" i="6" s="1"/>
  <c r="J4" i="6"/>
  <c r="L4" i="6" s="1"/>
  <c r="K6" i="9" l="1"/>
  <c r="L6" i="9"/>
  <c r="G6" i="9"/>
  <c r="M4" i="6"/>
  <c r="N4" i="6" s="1"/>
  <c r="I6" i="9" l="1"/>
  <c r="H6" i="9"/>
  <c r="M6" i="9"/>
  <c r="O4" i="6"/>
  <c r="P4" i="6" s="1"/>
  <c r="X4" i="6" s="1"/>
  <c r="Q4" i="6"/>
  <c r="U4" i="6" s="1"/>
  <c r="H5" i="6" s="1"/>
  <c r="J7" i="9" l="1"/>
  <c r="G7" i="9"/>
  <c r="R4" i="6"/>
  <c r="S4" i="6" s="1"/>
  <c r="W4" i="6" s="1"/>
  <c r="K5" i="6"/>
  <c r="V4" i="6"/>
  <c r="K7" i="9" l="1"/>
  <c r="I7" i="9" s="1"/>
  <c r="L7" i="9"/>
  <c r="H7" i="9"/>
  <c r="M7" i="9"/>
  <c r="T4" i="6"/>
  <c r="I5" i="6" s="1"/>
  <c r="J5" i="6" s="1"/>
  <c r="L5" i="6" s="1"/>
  <c r="Y4" i="6"/>
  <c r="J8" i="9" l="1"/>
  <c r="K8" i="9" s="1"/>
  <c r="L8" i="9"/>
  <c r="G8" i="9"/>
  <c r="M5" i="6"/>
  <c r="N5" i="6" s="1"/>
  <c r="H8" i="9" l="1"/>
  <c r="M8" i="9"/>
  <c r="I8" i="9"/>
  <c r="Q5" i="6"/>
  <c r="O5" i="6"/>
  <c r="P5" i="6" s="1"/>
  <c r="X5" i="6" s="1"/>
  <c r="J9" i="9" l="1"/>
  <c r="G9" i="9"/>
  <c r="R5" i="6"/>
  <c r="S5" i="6" s="1"/>
  <c r="U5" i="6"/>
  <c r="H6" i="6" s="1"/>
  <c r="K6" i="6"/>
  <c r="K9" i="9" l="1"/>
  <c r="H9" i="9" s="1"/>
  <c r="L9" i="9"/>
  <c r="M9" i="9"/>
  <c r="I9" i="9"/>
  <c r="V5" i="6"/>
  <c r="W5" i="6"/>
  <c r="T5" i="6"/>
  <c r="I6" i="6" s="1"/>
  <c r="J6" i="6" s="1"/>
  <c r="L6" i="6" s="1"/>
  <c r="J10" i="9" l="1"/>
  <c r="G10" i="9"/>
  <c r="Y5" i="6"/>
  <c r="M6" i="6"/>
  <c r="M10" i="9" l="1"/>
  <c r="K10" i="9"/>
  <c r="H10" i="9" s="1"/>
  <c r="L10" i="9"/>
  <c r="O6" i="6"/>
  <c r="P6" i="6" s="1"/>
  <c r="K7" i="6" s="1"/>
  <c r="N6" i="6"/>
  <c r="Q6" i="6" s="1"/>
  <c r="U6" i="6" s="1"/>
  <c r="I10" i="9" l="1"/>
  <c r="G11" i="9" s="1"/>
  <c r="H7" i="6"/>
  <c r="V6" i="6"/>
  <c r="X6" i="6"/>
  <c r="R6" i="6"/>
  <c r="S6" i="6" s="1"/>
  <c r="T6" i="6" s="1"/>
  <c r="I7" i="6" s="1"/>
  <c r="J7" i="6" s="1"/>
  <c r="L7" i="6" s="1"/>
  <c r="J11" i="9" l="1"/>
  <c r="K11" i="9" s="1"/>
  <c r="I11" i="9" s="1"/>
  <c r="M11" i="9"/>
  <c r="W6" i="6"/>
  <c r="Y6" i="6" s="1"/>
  <c r="M7" i="6"/>
  <c r="N7" i="6" s="1"/>
  <c r="L11" i="9" l="1"/>
  <c r="H11" i="9"/>
  <c r="J12" i="9" s="1"/>
  <c r="Q7" i="6"/>
  <c r="R7" i="6" s="1"/>
  <c r="S7" i="6" s="1"/>
  <c r="O7" i="6"/>
  <c r="P7" i="6" s="1"/>
  <c r="G12" i="9" l="1"/>
  <c r="H12" i="9" s="1"/>
  <c r="L12" i="9"/>
  <c r="K12" i="9"/>
  <c r="M12" i="9"/>
  <c r="I12" i="9"/>
  <c r="T7" i="6"/>
  <c r="I8" i="6" s="1"/>
  <c r="W7" i="6"/>
  <c r="U7" i="6"/>
  <c r="H8" i="6" s="1"/>
  <c r="K8" i="6"/>
  <c r="X7" i="6"/>
  <c r="J13" i="9" l="1"/>
  <c r="L13" i="9" s="1"/>
  <c r="G13" i="9"/>
  <c r="J8" i="6"/>
  <c r="V7" i="6"/>
  <c r="Y7" i="6" s="1"/>
  <c r="K13" i="9" l="1"/>
  <c r="I13" i="9" s="1"/>
  <c r="J14" i="9" s="1"/>
  <c r="H13" i="9"/>
  <c r="M13" i="9"/>
  <c r="L8" i="6"/>
  <c r="M8" i="6" s="1"/>
  <c r="G14" i="9" l="1"/>
  <c r="L14" i="9"/>
  <c r="K14" i="9"/>
  <c r="H14" i="9" s="1"/>
  <c r="I14" i="9"/>
  <c r="M14" i="9"/>
  <c r="N8" i="6"/>
  <c r="Q8" i="6" s="1"/>
  <c r="O8" i="6"/>
  <c r="P8" i="6" s="1"/>
  <c r="X8" i="6" s="1"/>
  <c r="J15" i="9" l="1"/>
  <c r="K15" i="9" s="1"/>
  <c r="H15" i="9" s="1"/>
  <c r="G15" i="9"/>
  <c r="M15" i="9" s="1"/>
  <c r="U8" i="6"/>
  <c r="V8" i="6" s="1"/>
  <c r="R8" i="6"/>
  <c r="S8" i="6" s="1"/>
  <c r="T8" i="6" s="1"/>
  <c r="L15" i="9" l="1"/>
  <c r="I15" i="9"/>
  <c r="J16" i="9" s="1"/>
  <c r="W8" i="6"/>
  <c r="Y8" i="6" s="1"/>
  <c r="Y10" i="6" s="1"/>
  <c r="L16" i="9" l="1"/>
  <c r="K16" i="9"/>
  <c r="M22" i="9" s="1"/>
  <c r="G16" i="9"/>
  <c r="J20" i="9"/>
  <c r="J21" i="9"/>
  <c r="J22" i="9"/>
  <c r="Y11" i="6"/>
  <c r="M23" i="9" l="1"/>
  <c r="I16" i="9"/>
  <c r="H16" i="9"/>
  <c r="M24" i="9"/>
  <c r="M16" i="9"/>
  <c r="M20" i="9" s="1"/>
  <c r="M25" i="9" s="1"/>
  <c r="M21" i="9" l="1"/>
  <c r="M26" i="9" s="1"/>
</calcChain>
</file>

<file path=xl/sharedStrings.xml><?xml version="1.0" encoding="utf-8"?>
<sst xmlns="http://schemas.openxmlformats.org/spreadsheetml/2006/main" count="280" uniqueCount="217">
  <si>
    <t>New Subscription Calls</t>
  </si>
  <si>
    <t>Date</t>
  </si>
  <si>
    <t>New Calls</t>
  </si>
  <si>
    <t>Day</t>
  </si>
  <si>
    <t>Monday</t>
  </si>
  <si>
    <t>Tuesday</t>
  </si>
  <si>
    <t>Wednesday</t>
  </si>
  <si>
    <t>Thursday</t>
  </si>
  <si>
    <t>Friday</t>
  </si>
  <si>
    <t>Saturday</t>
  </si>
  <si>
    <t>Sunday</t>
  </si>
  <si>
    <t>7‑Day CMA</t>
  </si>
  <si>
    <t>Detrended Calls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</si>
  <si>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</si>
  <si>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</si>
  <si>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</si>
  <si>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</si>
  <si>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</si>
  <si>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</si>
  <si>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</si>
  <si>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</si>
  <si>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Median Seasonal Profile</t>
  </si>
  <si>
    <t>Seasonal Naive Forecast</t>
  </si>
  <si>
    <t>Seasonal Naive Error</t>
  </si>
  <si>
    <t>Seasonal Average Forecast</t>
  </si>
  <si>
    <t>Seasonal Average Error</t>
  </si>
  <si>
    <t>Seasonal Exponential Smoothing Forecast</t>
  </si>
  <si>
    <t>Seasonal Exponential Smoothing Error</t>
  </si>
  <si>
    <t>Day of Week (Sunday =1)</t>
  </si>
  <si>
    <t>Average Calls for Each Day of the Week Using In-Sample Data</t>
  </si>
  <si>
    <t>Seasonal Naive Absolute Error</t>
  </si>
  <si>
    <t>Seasonal Naive Squared Error</t>
  </si>
  <si>
    <t>Seasonal Average Absolute Error</t>
  </si>
  <si>
    <t>Seasonal Average Squared Error</t>
  </si>
  <si>
    <t>Seasonal Exponential Smoothing Absolute Error</t>
  </si>
  <si>
    <t>Seasonal Exponential Smoothing Squared Error</t>
  </si>
  <si>
    <t>Number of Installations</t>
  </si>
  <si>
    <t>Cumulative Probability</t>
  </si>
  <si>
    <t>Cumularive Probability</t>
  </si>
  <si>
    <t>Number of Boxes</t>
  </si>
  <si>
    <t>Installations Lookup</t>
  </si>
  <si>
    <t>Boxes per Installation Lookup</t>
  </si>
  <si>
    <t>Initial Stock</t>
  </si>
  <si>
    <t>Order Qty</t>
  </si>
  <si>
    <t>Random # Inst</t>
  </si>
  <si>
    <t>Sim # Inst</t>
  </si>
  <si>
    <t>Random # Box Type</t>
  </si>
  <si>
    <t>Sim Boxes per Inst</t>
  </si>
  <si>
    <t>Total Daily Demand</t>
  </si>
  <si>
    <t>Opening Inv</t>
  </si>
  <si>
    <t>Order Received Today</t>
  </si>
  <si>
    <t>Inventory Available</t>
  </si>
  <si>
    <t>Backorders Carried In</t>
  </si>
  <si>
    <t>Backorders Fulfilled</t>
  </si>
  <si>
    <t>nventory After Backorders</t>
  </si>
  <si>
    <t>Demand Fulfilled</t>
  </si>
  <si>
    <t>Backorders Created</t>
  </si>
  <si>
    <t>Backorders Carried Out</t>
  </si>
  <si>
    <t>Ending Inv Before Order</t>
  </si>
  <si>
    <t>Low Inv (&lt;=2)?</t>
  </si>
  <si>
    <t>Order Placed (Qty)</t>
  </si>
  <si>
    <t>Order Received Tomorrow</t>
  </si>
  <si>
    <t>Ordering Cost</t>
  </si>
  <si>
    <t>Holding Cost</t>
  </si>
  <si>
    <t>Backorder Cost</t>
  </si>
  <si>
    <t>Total Daily Cost</t>
  </si>
  <si>
    <t>Holding Cost per box</t>
  </si>
  <si>
    <t>Ordering Cost per box</t>
  </si>
  <si>
    <t>Backorder per box per day</t>
  </si>
  <si>
    <t>Ending Inv After Order</t>
  </si>
  <si>
    <t>Average Daily Cost</t>
  </si>
  <si>
    <t>Metric</t>
  </si>
  <si>
    <t>Seasonal Naive (In-Sample)</t>
  </si>
  <si>
    <t>Seasonal Naive (Out-of-Sample)</t>
  </si>
  <si>
    <t>Seasonal Average (In-Sample)</t>
  </si>
  <si>
    <t>Seasonal Average (Out-of-Sample)</t>
  </si>
  <si>
    <t>SES (In-Sample)</t>
  </si>
  <si>
    <t>SES (Out-of-Sample)</t>
  </si>
  <si>
    <t>ME</t>
  </si>
  <si>
    <t>MAE</t>
  </si>
  <si>
    <t>RMSE</t>
  </si>
  <si>
    <t>Tom</t>
  </si>
  <si>
    <t>Bob</t>
  </si>
  <si>
    <t>Paul</t>
  </si>
  <si>
    <t>Steve</t>
  </si>
  <si>
    <t>Lucas</t>
  </si>
  <si>
    <t>Job 1</t>
  </si>
  <si>
    <t>Job 2</t>
  </si>
  <si>
    <t>Job 3</t>
  </si>
  <si>
    <t>Job 4</t>
  </si>
  <si>
    <t>Job 5</t>
  </si>
  <si>
    <t>Job Assignment Constraints</t>
  </si>
  <si>
    <t>Sum of Assignments for Each Job</t>
  </si>
  <si>
    <t>Required Sum</t>
  </si>
  <si>
    <t>Microsoft Excel 16.0 Answer Report</t>
  </si>
  <si>
    <t>Worksheet: [Assignment 2 Applied Analytics.xlsm]Section_5</t>
  </si>
  <si>
    <t>Report Created: 21-04-2025 17:05:11</t>
  </si>
  <si>
    <t>Result: Solver found a solution.  All Constraints and optimality conditions are satisfied.</t>
  </si>
  <si>
    <t>Solver Engine</t>
  </si>
  <si>
    <t>Engine: Simplex LP</t>
  </si>
  <si>
    <t>Solution Time: 0.203 Seconds.</t>
  </si>
  <si>
    <t>Iterations: 12 Subproblems: 0</t>
  </si>
  <si>
    <t>Solver Options</t>
  </si>
  <si>
    <t>Max Time Unlimited,  Iterations Unlimited, Precision 0.000001, Use Automatic Scaling</t>
  </si>
  <si>
    <t>Max Subproblems Unlimited, Max Integer Sols Unlimited, Integer Tolerance 1%, Assume NonNegative</t>
  </si>
  <si>
    <t>Objective Cell (Min)</t>
  </si>
  <si>
    <t>Cell</t>
  </si>
  <si>
    <t>Name</t>
  </si>
  <si>
    <t>Original Value</t>
  </si>
  <si>
    <t>Final Value</t>
  </si>
  <si>
    <t>Variable Cells</t>
  </si>
  <si>
    <t>Integer</t>
  </si>
  <si>
    <t>Constraints</t>
  </si>
  <si>
    <t>Cell Value</t>
  </si>
  <si>
    <t>Formula</t>
  </si>
  <si>
    <t>Status</t>
  </si>
  <si>
    <t>Slack</t>
  </si>
  <si>
    <t>$B$16</t>
  </si>
  <si>
    <t>Total Distance (Objective) Job 1</t>
  </si>
  <si>
    <t>$B$10</t>
  </si>
  <si>
    <t>Tom Job 1</t>
  </si>
  <si>
    <t>$C$10</t>
  </si>
  <si>
    <t>Tom Job 2</t>
  </si>
  <si>
    <t>$D$10</t>
  </si>
  <si>
    <t>Tom Job 3</t>
  </si>
  <si>
    <t>$E$10</t>
  </si>
  <si>
    <t>Tom Job 4</t>
  </si>
  <si>
    <t>$F$10</t>
  </si>
  <si>
    <t>Tom Job 5</t>
  </si>
  <si>
    <t>$B$11</t>
  </si>
  <si>
    <t>Bob Job 1</t>
  </si>
  <si>
    <t>$C$11</t>
  </si>
  <si>
    <t>Bob Job 2</t>
  </si>
  <si>
    <t>$D$11</t>
  </si>
  <si>
    <t>Bob Job 3</t>
  </si>
  <si>
    <t>$E$11</t>
  </si>
  <si>
    <t>Bob Job 4</t>
  </si>
  <si>
    <t>$F$11</t>
  </si>
  <si>
    <t>Bob Job 5</t>
  </si>
  <si>
    <t>$B$12</t>
  </si>
  <si>
    <t>Paul Job 1</t>
  </si>
  <si>
    <t>$C$12</t>
  </si>
  <si>
    <t>Paul Job 2</t>
  </si>
  <si>
    <t>$D$12</t>
  </si>
  <si>
    <t>Paul Job 3</t>
  </si>
  <si>
    <t>$E$12</t>
  </si>
  <si>
    <t>Paul Job 4</t>
  </si>
  <si>
    <t>$F$12</t>
  </si>
  <si>
    <t>Paul Job 5</t>
  </si>
  <si>
    <t>$B$13</t>
  </si>
  <si>
    <t>Steve Job 1</t>
  </si>
  <si>
    <t>$C$13</t>
  </si>
  <si>
    <t>Steve Job 2</t>
  </si>
  <si>
    <t>$D$13</t>
  </si>
  <si>
    <t>Steve Job 3</t>
  </si>
  <si>
    <t>$E$13</t>
  </si>
  <si>
    <t>Steve Job 4</t>
  </si>
  <si>
    <t>$F$13</t>
  </si>
  <si>
    <t>Steve Job 5</t>
  </si>
  <si>
    <t>$B$14</t>
  </si>
  <si>
    <t>Lucas Job 1</t>
  </si>
  <si>
    <t>$C$14</t>
  </si>
  <si>
    <t>Lucas Job 2</t>
  </si>
  <si>
    <t>$D$14</t>
  </si>
  <si>
    <t>Lucas Job 3</t>
  </si>
  <si>
    <t>$E$14</t>
  </si>
  <si>
    <t>Lucas Job 4</t>
  </si>
  <si>
    <t>$F$14</t>
  </si>
  <si>
    <t>Lucas Job 5</t>
  </si>
  <si>
    <t>$B$19</t>
  </si>
  <si>
    <t>Sum of Assignments for Each Job Job 1</t>
  </si>
  <si>
    <t>$B$19=$G$19</t>
  </si>
  <si>
    <t>Binding</t>
  </si>
  <si>
    <t>$C$19</t>
  </si>
  <si>
    <t>Sum of Assignments for Each Job Job 2</t>
  </si>
  <si>
    <t>$C$19=$G$19</t>
  </si>
  <si>
    <t>$D$19</t>
  </si>
  <si>
    <t>Sum of Assignments for Each Job Job 3</t>
  </si>
  <si>
    <t>$D$19=$G$19</t>
  </si>
  <si>
    <t>$E$19</t>
  </si>
  <si>
    <t>Sum of Assignments for Each Job Job 4</t>
  </si>
  <si>
    <t>$E$19=$G$19</t>
  </si>
  <si>
    <t>$F$19</t>
  </si>
  <si>
    <t>Sum of Assignments for Each Job Job 5</t>
  </si>
  <si>
    <t>$F$19=$G$19</t>
  </si>
  <si>
    <t>$B$10:$F$14=Binary</t>
  </si>
  <si>
    <t>Binary</t>
  </si>
  <si>
    <t>Vehicle</t>
  </si>
  <si>
    <t>Random # Inter-Arrival</t>
  </si>
  <si>
    <t>Time Between Arrival (mins)</t>
  </si>
  <si>
    <t>Arrival Time (mins)</t>
  </si>
  <si>
    <t>Random # Service Time</t>
  </si>
  <si>
    <t>Service Time (mins)</t>
  </si>
  <si>
    <t>Allocated Mechanic</t>
  </si>
  <si>
    <t>Mechanic 1 End Time</t>
  </si>
  <si>
    <t>Mechanic 2 End Time</t>
  </si>
  <si>
    <t>Service Start Time (mins)</t>
  </si>
  <si>
    <t>Wait Time (mins)</t>
  </si>
  <si>
    <t>Service Completion Time (mins)</t>
  </si>
  <si>
    <t>Mechanic Idle Time (mins)</t>
  </si>
  <si>
    <t>Average Service Time</t>
  </si>
  <si>
    <t>Overall Wait Time Metrics</t>
  </si>
  <si>
    <t>Total Wait Time</t>
  </si>
  <si>
    <t>Average Wait Time</t>
  </si>
  <si>
    <t>Maximum Wait Time</t>
  </si>
  <si>
    <t>Overall Mechanic Idle Time Metrics</t>
  </si>
  <si>
    <t>Total Idle Time for Mechanic 1</t>
  </si>
  <si>
    <t>Total Idle Time for Mechanic 2</t>
  </si>
  <si>
    <t>Total Simulation Time</t>
  </si>
  <si>
    <t>Total Busy Time for Mechanic 1</t>
  </si>
  <si>
    <t>Total Busy Time for Mechanic 2</t>
  </si>
  <si>
    <t>Idle Time Percentage for Mechanic 1</t>
  </si>
  <si>
    <t>Idle Time Percentage for Mechanic 2</t>
  </si>
  <si>
    <t>Seed</t>
  </si>
  <si>
    <t>Engineer</t>
  </si>
  <si>
    <t>Job Allocation</t>
  </si>
  <si>
    <t>Total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</si>
</sst>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_-* #,##0_-;\-* #,##0_-;_-* &quot;-&quot;??_-;_-@_-"/>
    <numFmt numFmtId="166" formatCode="[$-14009]dd\ mmmm\ yyyy;@"/>
    <numFmt numFmtId="167" formatCode="[$-14009]d\ mmmm\ yyyy;@"/>
    <numFmt numFmtId="168" formatCode="0.000000000"/>
    <numFmt numFmtId="169" formatCode="0.000000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9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3" fillId="2" borderId="0" xfId="0" applyFont="1" applyFill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right"/>
    </xf>
    <xf numFmtId="16" fontId="3" fillId="0" borderId="1" xfId="0" applyNumberFormat="1" applyFont="1" applyBorder="1" applyAlignment="1">
      <alignment horizontal="left"/>
    </xf>
    <xf numFmtId="165" fontId="3" fillId="0" borderId="1" xfId="1" applyNumberFormat="1" applyFont="1" applyBorder="1" applyAlignment="1">
      <alignment horizontal="right"/>
    </xf>
    <xf numFmtId="0" fontId="0" fillId="0" borderId="1" xfId="0" applyBorder="1"/>
    <xf numFmtId="0" fontId="0" fillId="0" borderId="8" xfId="0" applyBorder="1"/>
    <xf numFmtId="166" fontId="2" fillId="0" borderId="4" xfId="0" applyNumberFormat="1" applyFont="1" applyBorder="1" applyAlignment="1">
      <alignment horizontal="left"/>
    </xf>
    <xf numFmtId="166" fontId="3" fillId="0" borderId="2" xfId="0" applyNumberFormat="1" applyFont="1" applyBorder="1" applyAlignment="1">
      <alignment horizontal="left"/>
    </xf>
    <xf numFmtId="166" fontId="3" fillId="0" borderId="6" xfId="0" applyNumberFormat="1" applyFont="1" applyBorder="1" applyAlignment="1">
      <alignment horizontal="left"/>
    </xf>
    <xf numFmtId="166" fontId="0" fillId="0" borderId="0" xfId="0" applyNumberFormat="1"/>
    <xf numFmtId="1" fontId="2" fillId="0" borderId="5" xfId="0" applyNumberFormat="1" applyFont="1" applyBorder="1" applyAlignment="1">
      <alignment horizontal="right"/>
    </xf>
    <xf numFmtId="1" fontId="3" fillId="0" borderId="3" xfId="1" applyNumberFormat="1" applyFont="1" applyBorder="1" applyAlignment="1">
      <alignment horizontal="right"/>
    </xf>
    <xf numFmtId="1" fontId="3" fillId="0" borderId="7" xfId="1" applyNumberFormat="1" applyFont="1" applyBorder="1" applyAlignment="1">
      <alignment horizontal="right"/>
    </xf>
    <xf numFmtId="1" fontId="0" fillId="0" borderId="0" xfId="0" applyNumberFormat="1"/>
    <xf numFmtId="1" fontId="0" fillId="0" borderId="0" xfId="0" applyNumberFormat="1" applyAlignment="1">
      <alignment wrapText="1"/>
    </xf>
    <xf numFmtId="167" fontId="3" fillId="0" borderId="1" xfId="0" applyNumberFormat="1" applyFont="1" applyBorder="1" applyAlignment="1">
      <alignment horizontal="left"/>
    </xf>
    <xf numFmtId="167" fontId="0" fillId="0" borderId="0" xfId="0" applyNumberFormat="1"/>
    <xf numFmtId="1" fontId="3" fillId="0" borderId="1" xfId="1" applyNumberFormat="1" applyFont="1" applyBorder="1" applyAlignment="1">
      <alignment horizontal="right"/>
    </xf>
    <xf numFmtId="1" fontId="0" fillId="0" borderId="1" xfId="0" applyNumberFormat="1" applyBorder="1"/>
    <xf numFmtId="168" fontId="0" fillId="0" borderId="1" xfId="0" applyNumberFormat="1" applyBorder="1"/>
    <xf numFmtId="169" fontId="0" fillId="0" borderId="1" xfId="0" applyNumberFormat="1" applyBorder="1"/>
    <xf numFmtId="1" fontId="7" fillId="0" borderId="1" xfId="0" applyNumberFormat="1" applyFont="1" applyBorder="1"/>
    <xf numFmtId="1" fontId="6" fillId="0" borderId="1" xfId="0" applyNumberFormat="1" applyFont="1" applyBorder="1"/>
    <xf numFmtId="167" fontId="2" fillId="3" borderId="1" xfId="0" applyNumberFormat="1" applyFont="1" applyFill="1" applyBorder="1" applyAlignment="1">
      <alignment horizontal="left"/>
    </xf>
    <xf numFmtId="1" fontId="2" fillId="3" borderId="1" xfId="0" applyNumberFormat="1" applyFont="1" applyFill="1" applyBorder="1" applyAlignment="1">
      <alignment horizontal="right"/>
    </xf>
    <xf numFmtId="0" fontId="0" fillId="3" borderId="1" xfId="0" applyFill="1" applyBorder="1"/>
    <xf numFmtId="0" fontId="0" fillId="0" borderId="10" xfId="0" applyBorder="1"/>
    <xf numFmtId="14" fontId="0" fillId="0" borderId="1" xfId="0" applyNumberFormat="1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0" fontId="8" fillId="0" borderId="1" xfId="0" applyFont="1" applyBorder="1" applyAlignment="1">
      <alignment wrapText="1"/>
    </xf>
    <xf numFmtId="0" fontId="8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1" xfId="0" applyFont="1" applyFill="1" applyBorder="1" applyAlignment="1">
      <alignment vertical="center"/>
    </xf>
    <xf numFmtId="0" fontId="0" fillId="3" borderId="1" xfId="0" applyFill="1" applyBorder="1" applyAlignment="1">
      <alignment wrapText="1"/>
    </xf>
    <xf numFmtId="0" fontId="0" fillId="3" borderId="10" xfId="0" applyFill="1" applyBorder="1"/>
    <xf numFmtId="0" fontId="0" fillId="3" borderId="0" xfId="0" applyFill="1"/>
    <xf numFmtId="0" fontId="9" fillId="0" borderId="0" xfId="0" applyFont="1"/>
    <xf numFmtId="0" fontId="0" fillId="0" borderId="14" xfId="0" applyBorder="1"/>
    <xf numFmtId="0" fontId="10" fillId="0" borderId="13" xfId="0" applyFont="1" applyBorder="1" applyAlignment="1">
      <alignment horizontal="center"/>
    </xf>
    <xf numFmtId="0" fontId="0" fillId="0" borderId="15" xfId="0" applyBorder="1"/>
    <xf numFmtId="0" fontId="8" fillId="0" borderId="1" xfId="0" applyFont="1" applyBorder="1" applyAlignment="1">
      <alignment horizontal="right" wrapText="1"/>
    </xf>
    <xf numFmtId="0" fontId="0" fillId="5" borderId="1" xfId="0" applyFill="1" applyBorder="1"/>
    <xf numFmtId="0" fontId="0" fillId="5" borderId="0" xfId="0" applyFill="1"/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Comma" xfId="1" builtinId="3"/>
    <cellStyle name="Normal" xfId="0" builtinId="0"/>
  </cellStyles>
  <dxfs count="6"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[$-14009]dd\ mmmm\ yyyy;@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Time Series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Section_2!$B$1</c:f>
              <c:strCache>
                <c:ptCount val="1"/>
                <c:pt idx="0">
                  <c:v>New Calls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Section_2!$A$2:$A$57</c:f>
              <c:numCache>
                <c:formatCode>[$-14009]dd\ mmmm\ yyyy;@</c:formatCode>
                <c:ptCount val="56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</c:numCache>
            </c:numRef>
          </c:cat>
          <c:val>
            <c:numRef>
              <c:f>Section_2!$B$2:$B$57</c:f>
              <c:numCache>
                <c:formatCode>0</c:formatCode>
                <c:ptCount val="56"/>
                <c:pt idx="0">
                  <c:v>1576</c:v>
                </c:pt>
                <c:pt idx="1">
                  <c:v>2299</c:v>
                </c:pt>
                <c:pt idx="2">
                  <c:v>1878</c:v>
                </c:pt>
                <c:pt idx="3">
                  <c:v>1628</c:v>
                </c:pt>
                <c:pt idx="4">
                  <c:v>1555</c:v>
                </c:pt>
                <c:pt idx="5">
                  <c:v>1240</c:v>
                </c:pt>
                <c:pt idx="6">
                  <c:v>864</c:v>
                </c:pt>
                <c:pt idx="7">
                  <c:v>1882</c:v>
                </c:pt>
                <c:pt idx="8">
                  <c:v>2306</c:v>
                </c:pt>
                <c:pt idx="9">
                  <c:v>1988</c:v>
                </c:pt>
                <c:pt idx="10">
                  <c:v>1886</c:v>
                </c:pt>
                <c:pt idx="11">
                  <c:v>1365</c:v>
                </c:pt>
                <c:pt idx="12">
                  <c:v>998</c:v>
                </c:pt>
                <c:pt idx="13">
                  <c:v>1052</c:v>
                </c:pt>
                <c:pt idx="14">
                  <c:v>1905</c:v>
                </c:pt>
                <c:pt idx="15">
                  <c:v>1767</c:v>
                </c:pt>
                <c:pt idx="16">
                  <c:v>1911</c:v>
                </c:pt>
                <c:pt idx="17">
                  <c:v>2036</c:v>
                </c:pt>
                <c:pt idx="18">
                  <c:v>1428</c:v>
                </c:pt>
                <c:pt idx="19">
                  <c:v>1008</c:v>
                </c:pt>
                <c:pt idx="20">
                  <c:v>1082</c:v>
                </c:pt>
                <c:pt idx="21">
                  <c:v>1921</c:v>
                </c:pt>
                <c:pt idx="22">
                  <c:v>1780</c:v>
                </c:pt>
                <c:pt idx="23">
                  <c:v>2071</c:v>
                </c:pt>
                <c:pt idx="24">
                  <c:v>1813</c:v>
                </c:pt>
                <c:pt idx="25">
                  <c:v>1780</c:v>
                </c:pt>
                <c:pt idx="26">
                  <c:v>1236</c:v>
                </c:pt>
                <c:pt idx="27">
                  <c:v>1082</c:v>
                </c:pt>
                <c:pt idx="28">
                  <c:v>1777</c:v>
                </c:pt>
                <c:pt idx="29">
                  <c:v>1766</c:v>
                </c:pt>
                <c:pt idx="30">
                  <c:v>1884</c:v>
                </c:pt>
                <c:pt idx="31">
                  <c:v>1780</c:v>
                </c:pt>
                <c:pt idx="32">
                  <c:v>1572</c:v>
                </c:pt>
                <c:pt idx="33">
                  <c:v>948</c:v>
                </c:pt>
                <c:pt idx="34">
                  <c:v>1085</c:v>
                </c:pt>
                <c:pt idx="35">
                  <c:v>2917</c:v>
                </c:pt>
                <c:pt idx="36">
                  <c:v>2801</c:v>
                </c:pt>
                <c:pt idx="37">
                  <c:v>3075</c:v>
                </c:pt>
                <c:pt idx="38">
                  <c:v>2737</c:v>
                </c:pt>
                <c:pt idx="39">
                  <c:v>2329</c:v>
                </c:pt>
                <c:pt idx="40">
                  <c:v>1540</c:v>
                </c:pt>
                <c:pt idx="41">
                  <c:v>1787</c:v>
                </c:pt>
                <c:pt idx="42">
                  <c:v>3102</c:v>
                </c:pt>
                <c:pt idx="43">
                  <c:v>2403</c:v>
                </c:pt>
                <c:pt idx="44">
                  <c:v>2927</c:v>
                </c:pt>
                <c:pt idx="45">
                  <c:v>3213</c:v>
                </c:pt>
                <c:pt idx="46">
                  <c:v>2194</c:v>
                </c:pt>
                <c:pt idx="47">
                  <c:v>1780</c:v>
                </c:pt>
                <c:pt idx="48">
                  <c:v>1408</c:v>
                </c:pt>
                <c:pt idx="49">
                  <c:v>2920</c:v>
                </c:pt>
                <c:pt idx="50">
                  <c:v>2647</c:v>
                </c:pt>
                <c:pt idx="51">
                  <c:v>3020</c:v>
                </c:pt>
                <c:pt idx="52">
                  <c:v>2338</c:v>
                </c:pt>
                <c:pt idx="53">
                  <c:v>2950</c:v>
                </c:pt>
                <c:pt idx="54">
                  <c:v>1601</c:v>
                </c:pt>
                <c:pt idx="55">
                  <c:v>1615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42-43E8-8570-57184092825C}"/>
            </c:ext>
          </c:extLst>
        </c:ser>
        <c:ser>
          <c:idx val="1"/>
          <c:order val="1"/>
          <c:tx>
            <c:strRef>
              <c:f>Section_2!$C$1</c:f>
              <c:strCache>
                <c:ptCount val="1"/>
                <c:pt idx="0">
                  <c:v>7‑Day CMA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Section_2!$A$2:$A$57</c:f>
              <c:numCache>
                <c:formatCode>[$-14009]dd\ mmmm\ yyyy;@</c:formatCode>
                <c:ptCount val="56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</c:numCache>
            </c:numRef>
          </c:cat>
          <c:val>
            <c:numRef>
              <c:f>Section_2!$C$2:$C$57</c:f>
              <c:numCache>
                <c:formatCode>General</c:formatCode>
                <c:ptCount val="56"/>
                <c:pt idx="3" formatCode="0">
                  <c:v>1577.1428571428571</c:v>
                </c:pt>
                <c:pt idx="4" formatCode="0">
                  <c:v>1620.8571428571429</c:v>
                </c:pt>
                <c:pt idx="5" formatCode="0">
                  <c:v>1621.8571428571429</c:v>
                </c:pt>
                <c:pt idx="6" formatCode="0">
                  <c:v>1637.5714285714287</c:v>
                </c:pt>
                <c:pt idx="7" formatCode="0">
                  <c:v>1674.4285714285713</c:v>
                </c:pt>
                <c:pt idx="8" formatCode="0">
                  <c:v>1647.2857142857142</c:v>
                </c:pt>
                <c:pt idx="9" formatCode="0">
                  <c:v>1612.7142857142858</c:v>
                </c:pt>
                <c:pt idx="10" formatCode="0">
                  <c:v>1639.5714285714287</c:v>
                </c:pt>
                <c:pt idx="11" formatCode="0">
                  <c:v>1642.8571428571429</c:v>
                </c:pt>
                <c:pt idx="12" formatCode="0">
                  <c:v>1565.8571428571429</c:v>
                </c:pt>
                <c:pt idx="13" formatCode="0">
                  <c:v>1554.8571428571429</c:v>
                </c:pt>
                <c:pt idx="14" formatCode="0">
                  <c:v>1576.2857142857142</c:v>
                </c:pt>
                <c:pt idx="15" formatCode="0">
                  <c:v>1585.2857142857142</c:v>
                </c:pt>
                <c:pt idx="16" formatCode="0">
                  <c:v>1586.7142857142858</c:v>
                </c:pt>
                <c:pt idx="17" formatCode="0">
                  <c:v>1591</c:v>
                </c:pt>
                <c:pt idx="18" formatCode="0">
                  <c:v>1593.2857142857142</c:v>
                </c:pt>
                <c:pt idx="19" formatCode="0">
                  <c:v>1595.1428571428571</c:v>
                </c:pt>
                <c:pt idx="20" formatCode="0">
                  <c:v>1618</c:v>
                </c:pt>
                <c:pt idx="21" formatCode="0">
                  <c:v>1586.1428571428571</c:v>
                </c:pt>
                <c:pt idx="22" formatCode="0">
                  <c:v>1636.4285714285713</c:v>
                </c:pt>
                <c:pt idx="23" formatCode="0">
                  <c:v>1669</c:v>
                </c:pt>
                <c:pt idx="24" formatCode="0">
                  <c:v>1669</c:v>
                </c:pt>
                <c:pt idx="25" formatCode="0">
                  <c:v>1648.4285714285713</c:v>
                </c:pt>
                <c:pt idx="26" formatCode="0">
                  <c:v>1646.4285714285713</c:v>
                </c:pt>
                <c:pt idx="27" formatCode="0">
                  <c:v>1619.7142857142858</c:v>
                </c:pt>
                <c:pt idx="28" formatCode="0">
                  <c:v>1615</c:v>
                </c:pt>
                <c:pt idx="29" formatCode="0">
                  <c:v>1585.2857142857142</c:v>
                </c:pt>
                <c:pt idx="30" formatCode="0">
                  <c:v>1544.1428571428571</c:v>
                </c:pt>
                <c:pt idx="31" formatCode="0">
                  <c:v>1544.5714285714287</c:v>
                </c:pt>
                <c:pt idx="32" formatCode="0">
                  <c:v>1707.4285714285713</c:v>
                </c:pt>
                <c:pt idx="33" formatCode="0">
                  <c:v>1855.2857142857142</c:v>
                </c:pt>
                <c:pt idx="34" formatCode="0">
                  <c:v>2025.4285714285713</c:v>
                </c:pt>
                <c:pt idx="35" formatCode="0">
                  <c:v>2162.1428571428573</c:v>
                </c:pt>
                <c:pt idx="36" formatCode="0">
                  <c:v>2270.2857142857142</c:v>
                </c:pt>
                <c:pt idx="37" formatCode="0">
                  <c:v>2354.8571428571427</c:v>
                </c:pt>
                <c:pt idx="38" formatCode="0">
                  <c:v>2455.1428571428573</c:v>
                </c:pt>
                <c:pt idx="39" formatCode="0">
                  <c:v>2481.5714285714284</c:v>
                </c:pt>
                <c:pt idx="40" formatCode="0">
                  <c:v>2424.7142857142858</c:v>
                </c:pt>
                <c:pt idx="41" formatCode="0">
                  <c:v>2403.5714285714284</c:v>
                </c:pt>
                <c:pt idx="42" formatCode="0">
                  <c:v>2471.5714285714284</c:v>
                </c:pt>
                <c:pt idx="43" formatCode="0">
                  <c:v>2452.2857142857142</c:v>
                </c:pt>
                <c:pt idx="44" formatCode="0">
                  <c:v>2486.5714285714284</c:v>
                </c:pt>
                <c:pt idx="45" formatCode="0">
                  <c:v>2432.4285714285716</c:v>
                </c:pt>
                <c:pt idx="46" formatCode="0">
                  <c:v>2406.4285714285716</c:v>
                </c:pt>
                <c:pt idx="47" formatCode="0">
                  <c:v>2441.2857142857142</c:v>
                </c:pt>
                <c:pt idx="48" formatCode="0">
                  <c:v>2454.5714285714284</c:v>
                </c:pt>
                <c:pt idx="49" formatCode="0">
                  <c:v>2329.5714285714284</c:v>
                </c:pt>
                <c:pt idx="50" formatCode="0">
                  <c:v>2437.5714285714284</c:v>
                </c:pt>
                <c:pt idx="51" formatCode="0">
                  <c:v>2412</c:v>
                </c:pt>
                <c:pt idx="52" formatCode="0">
                  <c:v>2441.5714285714284</c:v>
                </c:pt>
                <c:pt idx="53" formatCode="0">
                  <c:v>2361.8333333333335</c:v>
                </c:pt>
                <c:pt idx="54" formatCode="0">
                  <c:v>2304.8000000000002</c:v>
                </c:pt>
                <c:pt idx="55" formatCode="0">
                  <c:v>2126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42-43E8-8570-57184092825C}"/>
            </c:ext>
          </c:extLst>
        </c:ser>
        <c:ser>
          <c:idx val="2"/>
          <c:order val="2"/>
          <c:tx>
            <c:strRef>
              <c:f>Section_2!$D$1</c:f>
              <c:strCache>
                <c:ptCount val="1"/>
                <c:pt idx="0">
                  <c:v>Detrended Calls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Section_2!$A$2:$A$57</c:f>
              <c:numCache>
                <c:formatCode>[$-14009]dd\ mmmm\ yyyy;@</c:formatCode>
                <c:ptCount val="56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</c:numCache>
            </c:numRef>
          </c:cat>
          <c:val>
            <c:numRef>
              <c:f>Section_2!$D$2:$D$57</c:f>
              <c:numCache>
                <c:formatCode>0</c:formatCode>
                <c:ptCount val="56"/>
                <c:pt idx="3">
                  <c:v>50.85714285714289</c:v>
                </c:pt>
                <c:pt idx="4">
                  <c:v>-65.85714285714289</c:v>
                </c:pt>
                <c:pt idx="5">
                  <c:v>-381.85714285714289</c:v>
                </c:pt>
                <c:pt idx="6">
                  <c:v>-773.57142857142867</c:v>
                </c:pt>
                <c:pt idx="7">
                  <c:v>207.57142857142867</c:v>
                </c:pt>
                <c:pt idx="8">
                  <c:v>658.71428571428578</c:v>
                </c:pt>
                <c:pt idx="9">
                  <c:v>375.28571428571422</c:v>
                </c:pt>
                <c:pt idx="10">
                  <c:v>246.42857142857133</c:v>
                </c:pt>
                <c:pt idx="11">
                  <c:v>-277.85714285714289</c:v>
                </c:pt>
                <c:pt idx="12">
                  <c:v>-567.85714285714289</c:v>
                </c:pt>
                <c:pt idx="13">
                  <c:v>-502.85714285714289</c:v>
                </c:pt>
                <c:pt idx="14">
                  <c:v>328.71428571428578</c:v>
                </c:pt>
                <c:pt idx="15">
                  <c:v>181.71428571428578</c:v>
                </c:pt>
                <c:pt idx="16">
                  <c:v>324.28571428571422</c:v>
                </c:pt>
                <c:pt idx="17">
                  <c:v>445</c:v>
                </c:pt>
                <c:pt idx="18">
                  <c:v>-165.28571428571422</c:v>
                </c:pt>
                <c:pt idx="19">
                  <c:v>-587.14285714285711</c:v>
                </c:pt>
                <c:pt idx="20">
                  <c:v>-536</c:v>
                </c:pt>
                <c:pt idx="21">
                  <c:v>334.85714285714289</c:v>
                </c:pt>
                <c:pt idx="22">
                  <c:v>143.57142857142867</c:v>
                </c:pt>
                <c:pt idx="23">
                  <c:v>402</c:v>
                </c:pt>
                <c:pt idx="24">
                  <c:v>144</c:v>
                </c:pt>
                <c:pt idx="25">
                  <c:v>131.57142857142867</c:v>
                </c:pt>
                <c:pt idx="26">
                  <c:v>-410.42857142857133</c:v>
                </c:pt>
                <c:pt idx="27">
                  <c:v>-537.71428571428578</c:v>
                </c:pt>
                <c:pt idx="28">
                  <c:v>162</c:v>
                </c:pt>
                <c:pt idx="29">
                  <c:v>180.71428571428578</c:v>
                </c:pt>
                <c:pt idx="30">
                  <c:v>339.85714285714289</c:v>
                </c:pt>
                <c:pt idx="31">
                  <c:v>235.42857142857133</c:v>
                </c:pt>
                <c:pt idx="32">
                  <c:v>-135.42857142857133</c:v>
                </c:pt>
                <c:pt idx="33">
                  <c:v>-907.28571428571422</c:v>
                </c:pt>
                <c:pt idx="34">
                  <c:v>-940.42857142857133</c:v>
                </c:pt>
                <c:pt idx="35">
                  <c:v>754.85714285714266</c:v>
                </c:pt>
                <c:pt idx="36">
                  <c:v>530.71428571428578</c:v>
                </c:pt>
                <c:pt idx="37">
                  <c:v>720.14285714285734</c:v>
                </c:pt>
                <c:pt idx="38">
                  <c:v>281.85714285714266</c:v>
                </c:pt>
                <c:pt idx="39">
                  <c:v>-152.57142857142844</c:v>
                </c:pt>
                <c:pt idx="40">
                  <c:v>-884.71428571428578</c:v>
                </c:pt>
                <c:pt idx="41">
                  <c:v>-616.57142857142844</c:v>
                </c:pt>
                <c:pt idx="42">
                  <c:v>630.42857142857156</c:v>
                </c:pt>
                <c:pt idx="43">
                  <c:v>-49.285714285714221</c:v>
                </c:pt>
                <c:pt idx="44">
                  <c:v>440.42857142857156</c:v>
                </c:pt>
                <c:pt idx="45">
                  <c:v>780.57142857142844</c:v>
                </c:pt>
                <c:pt idx="46">
                  <c:v>-212.42857142857156</c:v>
                </c:pt>
                <c:pt idx="47">
                  <c:v>-661.28571428571422</c:v>
                </c:pt>
                <c:pt idx="48">
                  <c:v>-1046.5714285714284</c:v>
                </c:pt>
                <c:pt idx="49">
                  <c:v>590.42857142857156</c:v>
                </c:pt>
                <c:pt idx="50">
                  <c:v>209.42857142857156</c:v>
                </c:pt>
                <c:pt idx="51">
                  <c:v>608</c:v>
                </c:pt>
                <c:pt idx="52">
                  <c:v>-103.57142857142844</c:v>
                </c:pt>
                <c:pt idx="53">
                  <c:v>588.16666666666652</c:v>
                </c:pt>
                <c:pt idx="54">
                  <c:v>-703.80000000000018</c:v>
                </c:pt>
                <c:pt idx="55">
                  <c:v>-511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42-43E8-8570-57184092825C}"/>
            </c:ext>
          </c:extLst>
        </c:ser>
        <c:ser>
          <c:idx val="3"/>
          <c:order val="3"/>
          <c:tx>
            <c:strRef>
              <c:f>Section_2!$E$1</c:f>
              <c:strCache>
                <c:ptCount val="1"/>
                <c:pt idx="0">
                  <c:v>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Section_2!$A$2:$A$57</c:f>
              <c:numCache>
                <c:formatCode>[$-14009]dd\ mmmm\ yyyy;@</c:formatCode>
                <c:ptCount val="56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</c:numCache>
            </c:numRef>
          </c:cat>
          <c:val>
            <c:numRef>
              <c:f>Section_2!$E$2:$E$57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42-43E8-8570-571840928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2780047"/>
        <c:axId val="2052780527"/>
      </c:lineChart>
      <c:dateAx>
        <c:axId val="20527800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14009]dd\ mmmm\ yy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780527"/>
        <c:crosses val="autoZero"/>
        <c:auto val="1"/>
        <c:lblOffset val="100"/>
        <c:baseTimeUnit val="days"/>
      </c:dateAx>
      <c:valAx>
        <c:axId val="205278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No. of New Calls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78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552851348126941E-2"/>
          <c:y val="0.18671568627450985"/>
          <c:w val="0.89080612301084738"/>
          <c:h val="0.65213177396943034"/>
        </c:manualLayout>
      </c:layout>
      <c:lineChart>
        <c:grouping val="standard"/>
        <c:varyColors val="0"/>
        <c:ser>
          <c:idx val="2"/>
          <c:order val="2"/>
          <c:tx>
            <c:v>Median Seasonal Profile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Section_2!$E$2:$E$57</c:f>
              <c:strCache>
                <c:ptCount val="56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  <c:pt idx="7">
                  <c:v>Monday</c:v>
                </c:pt>
                <c:pt idx="8">
                  <c:v>Tuesday</c:v>
                </c:pt>
                <c:pt idx="9">
                  <c:v>Wednesday</c:v>
                </c:pt>
                <c:pt idx="10">
                  <c:v>Thursday</c:v>
                </c:pt>
                <c:pt idx="11">
                  <c:v>Friday</c:v>
                </c:pt>
                <c:pt idx="12">
                  <c:v>Saturday</c:v>
                </c:pt>
                <c:pt idx="13">
                  <c:v>Sunday</c:v>
                </c:pt>
                <c:pt idx="14">
                  <c:v>Monday</c:v>
                </c:pt>
                <c:pt idx="15">
                  <c:v>Tuesday</c:v>
                </c:pt>
                <c:pt idx="16">
                  <c:v>Wednesday</c:v>
                </c:pt>
                <c:pt idx="17">
                  <c:v>Thursday</c:v>
                </c:pt>
                <c:pt idx="18">
                  <c:v>Friday</c:v>
                </c:pt>
                <c:pt idx="19">
                  <c:v>Saturday</c:v>
                </c:pt>
                <c:pt idx="20">
                  <c:v>Sunday</c:v>
                </c:pt>
                <c:pt idx="21">
                  <c:v>Monday</c:v>
                </c:pt>
                <c:pt idx="22">
                  <c:v>Tuesday</c:v>
                </c:pt>
                <c:pt idx="23">
                  <c:v>Wednesday</c:v>
                </c:pt>
                <c:pt idx="24">
                  <c:v>Thursday</c:v>
                </c:pt>
                <c:pt idx="25">
                  <c:v>Friday</c:v>
                </c:pt>
                <c:pt idx="26">
                  <c:v>Saturday</c:v>
                </c:pt>
                <c:pt idx="27">
                  <c:v>Sunday</c:v>
                </c:pt>
                <c:pt idx="28">
                  <c:v>Monday</c:v>
                </c:pt>
                <c:pt idx="29">
                  <c:v>Tuesday</c:v>
                </c:pt>
                <c:pt idx="30">
                  <c:v>Wednesday</c:v>
                </c:pt>
                <c:pt idx="31">
                  <c:v>Thursday</c:v>
                </c:pt>
                <c:pt idx="32">
                  <c:v>Friday</c:v>
                </c:pt>
                <c:pt idx="33">
                  <c:v>Saturday</c:v>
                </c:pt>
                <c:pt idx="34">
                  <c:v>Sunday</c:v>
                </c:pt>
                <c:pt idx="35">
                  <c:v>Monday</c:v>
                </c:pt>
                <c:pt idx="36">
                  <c:v>Tuesday</c:v>
                </c:pt>
                <c:pt idx="37">
                  <c:v>Wednesday</c:v>
                </c:pt>
                <c:pt idx="38">
                  <c:v>Thursday</c:v>
                </c:pt>
                <c:pt idx="39">
                  <c:v>Friday</c:v>
                </c:pt>
                <c:pt idx="40">
                  <c:v>Saturday</c:v>
                </c:pt>
                <c:pt idx="41">
                  <c:v>Sunday</c:v>
                </c:pt>
                <c:pt idx="42">
                  <c:v>Monday</c:v>
                </c:pt>
                <c:pt idx="43">
                  <c:v>Tuesday</c:v>
                </c:pt>
                <c:pt idx="44">
                  <c:v>Wednesday</c:v>
                </c:pt>
                <c:pt idx="45">
                  <c:v>Thursday</c:v>
                </c:pt>
                <c:pt idx="46">
                  <c:v>Friday</c:v>
                </c:pt>
                <c:pt idx="47">
                  <c:v>Saturday</c:v>
                </c:pt>
                <c:pt idx="48">
                  <c:v>Sunday</c:v>
                </c:pt>
                <c:pt idx="49">
                  <c:v>Monday</c:v>
                </c:pt>
                <c:pt idx="50">
                  <c:v>Tuesday</c:v>
                </c:pt>
                <c:pt idx="51">
                  <c:v>Wednesday</c:v>
                </c:pt>
                <c:pt idx="52">
                  <c:v>Thursday</c:v>
                </c:pt>
                <c:pt idx="53">
                  <c:v>Friday</c:v>
                </c:pt>
                <c:pt idx="54">
                  <c:v>Saturday</c:v>
                </c:pt>
                <c:pt idx="55">
                  <c:v>Sunday</c:v>
                </c:pt>
              </c:strCache>
            </c:strRef>
          </c:cat>
          <c:val>
            <c:numRef>
              <c:f>Section_2!$K$28:$Q$28</c:f>
              <c:numCache>
                <c:formatCode>General</c:formatCode>
                <c:ptCount val="7"/>
                <c:pt idx="0">
                  <c:v>335</c:v>
                </c:pt>
                <c:pt idx="1">
                  <c:v>182</c:v>
                </c:pt>
                <c:pt idx="2">
                  <c:v>402</c:v>
                </c:pt>
                <c:pt idx="3">
                  <c:v>240.5</c:v>
                </c:pt>
                <c:pt idx="4">
                  <c:v>-144</c:v>
                </c:pt>
                <c:pt idx="5">
                  <c:v>-624</c:v>
                </c:pt>
                <c:pt idx="6">
                  <c:v>-577.5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4F-439C-90FF-8800BF615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1927055"/>
        <c:axId val="13567761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Section_2!$D$1:$D$4</c15:sqref>
                        </c15:formulaRef>
                      </c:ext>
                    </c:extLst>
                    <c:strCache>
                      <c:ptCount val="1"/>
                      <c:pt idx="0">
                        <c:v>Detrended Calls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Section_2!$E$2:$E$57</c15:sqref>
                        </c15:formulaRef>
                      </c:ext>
                    </c:extLst>
                    <c:strCache>
                      <c:ptCount val="56"/>
                      <c:pt idx="0">
                        <c:v>Monday</c:v>
                      </c:pt>
                      <c:pt idx="1">
                        <c:v>Tuesday</c:v>
                      </c:pt>
                      <c:pt idx="2">
                        <c:v>Wednesday</c:v>
                      </c:pt>
                      <c:pt idx="3">
                        <c:v>Thursday</c:v>
                      </c:pt>
                      <c:pt idx="4">
                        <c:v>Friday</c:v>
                      </c:pt>
                      <c:pt idx="5">
                        <c:v>Saturday</c:v>
                      </c:pt>
                      <c:pt idx="6">
                        <c:v>Sunday</c:v>
                      </c:pt>
                      <c:pt idx="7">
                        <c:v>Monday</c:v>
                      </c:pt>
                      <c:pt idx="8">
                        <c:v>Tuesday</c:v>
                      </c:pt>
                      <c:pt idx="9">
                        <c:v>Wednesday</c:v>
                      </c:pt>
                      <c:pt idx="10">
                        <c:v>Thursday</c:v>
                      </c:pt>
                      <c:pt idx="11">
                        <c:v>Friday</c:v>
                      </c:pt>
                      <c:pt idx="12">
                        <c:v>Saturday</c:v>
                      </c:pt>
                      <c:pt idx="13">
                        <c:v>Sunday</c:v>
                      </c:pt>
                      <c:pt idx="14">
                        <c:v>Monday</c:v>
                      </c:pt>
                      <c:pt idx="15">
                        <c:v>Tuesday</c:v>
                      </c:pt>
                      <c:pt idx="16">
                        <c:v>Wednesday</c:v>
                      </c:pt>
                      <c:pt idx="17">
                        <c:v>Thursday</c:v>
                      </c:pt>
                      <c:pt idx="18">
                        <c:v>Friday</c:v>
                      </c:pt>
                      <c:pt idx="19">
                        <c:v>Saturday</c:v>
                      </c:pt>
                      <c:pt idx="20">
                        <c:v>Sunday</c:v>
                      </c:pt>
                      <c:pt idx="21">
                        <c:v>Monday</c:v>
                      </c:pt>
                      <c:pt idx="22">
                        <c:v>Tuesday</c:v>
                      </c:pt>
                      <c:pt idx="23">
                        <c:v>Wednesday</c:v>
                      </c:pt>
                      <c:pt idx="24">
                        <c:v>Thursday</c:v>
                      </c:pt>
                      <c:pt idx="25">
                        <c:v>Friday</c:v>
                      </c:pt>
                      <c:pt idx="26">
                        <c:v>Saturday</c:v>
                      </c:pt>
                      <c:pt idx="27">
                        <c:v>Sunday</c:v>
                      </c:pt>
                      <c:pt idx="28">
                        <c:v>Monday</c:v>
                      </c:pt>
                      <c:pt idx="29">
                        <c:v>Tuesday</c:v>
                      </c:pt>
                      <c:pt idx="30">
                        <c:v>Wednesday</c:v>
                      </c:pt>
                      <c:pt idx="31">
                        <c:v>Thursday</c:v>
                      </c:pt>
                      <c:pt idx="32">
                        <c:v>Friday</c:v>
                      </c:pt>
                      <c:pt idx="33">
                        <c:v>Saturday</c:v>
                      </c:pt>
                      <c:pt idx="34">
                        <c:v>Sunday</c:v>
                      </c:pt>
                      <c:pt idx="35">
                        <c:v>Monday</c:v>
                      </c:pt>
                      <c:pt idx="36">
                        <c:v>Tuesday</c:v>
                      </c:pt>
                      <c:pt idx="37">
                        <c:v>Wednesday</c:v>
                      </c:pt>
                      <c:pt idx="38">
                        <c:v>Thursday</c:v>
                      </c:pt>
                      <c:pt idx="39">
                        <c:v>Friday</c:v>
                      </c:pt>
                      <c:pt idx="40">
                        <c:v>Saturday</c:v>
                      </c:pt>
                      <c:pt idx="41">
                        <c:v>Sunday</c:v>
                      </c:pt>
                      <c:pt idx="42">
                        <c:v>Monday</c:v>
                      </c:pt>
                      <c:pt idx="43">
                        <c:v>Tuesday</c:v>
                      </c:pt>
                      <c:pt idx="44">
                        <c:v>Wednesday</c:v>
                      </c:pt>
                      <c:pt idx="45">
                        <c:v>Thursday</c:v>
                      </c:pt>
                      <c:pt idx="46">
                        <c:v>Friday</c:v>
                      </c:pt>
                      <c:pt idx="47">
                        <c:v>Saturday</c:v>
                      </c:pt>
                      <c:pt idx="48">
                        <c:v>Sunday</c:v>
                      </c:pt>
                      <c:pt idx="49">
                        <c:v>Monday</c:v>
                      </c:pt>
                      <c:pt idx="50">
                        <c:v>Tuesday</c:v>
                      </c:pt>
                      <c:pt idx="51">
                        <c:v>Wednesday</c:v>
                      </c:pt>
                      <c:pt idx="52">
                        <c:v>Thursday</c:v>
                      </c:pt>
                      <c:pt idx="53">
                        <c:v>Friday</c:v>
                      </c:pt>
                      <c:pt idx="54">
                        <c:v>Saturday</c:v>
                      </c:pt>
                      <c:pt idx="55">
                        <c:v>Sunday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Section_2!$D$5:$D$57</c15:sqref>
                        </c15:formulaRef>
                      </c:ext>
                    </c:extLst>
                    <c:numCache>
                      <c:formatCode>0</c:formatCode>
                      <c:ptCount val="53"/>
                      <c:pt idx="0">
                        <c:v>50.85714285714289</c:v>
                      </c:pt>
                      <c:pt idx="1">
                        <c:v>-65.85714285714289</c:v>
                      </c:pt>
                      <c:pt idx="2">
                        <c:v>-381.85714285714289</c:v>
                      </c:pt>
                      <c:pt idx="3">
                        <c:v>-773.57142857142867</c:v>
                      </c:pt>
                      <c:pt idx="4">
                        <c:v>207.57142857142867</c:v>
                      </c:pt>
                      <c:pt idx="5">
                        <c:v>658.71428571428578</c:v>
                      </c:pt>
                      <c:pt idx="6">
                        <c:v>375.28571428571422</c:v>
                      </c:pt>
                      <c:pt idx="7">
                        <c:v>246.42857142857133</c:v>
                      </c:pt>
                      <c:pt idx="8">
                        <c:v>-277.85714285714289</c:v>
                      </c:pt>
                      <c:pt idx="9">
                        <c:v>-567.85714285714289</c:v>
                      </c:pt>
                      <c:pt idx="10">
                        <c:v>-502.85714285714289</c:v>
                      </c:pt>
                      <c:pt idx="11">
                        <c:v>328.71428571428578</c:v>
                      </c:pt>
                      <c:pt idx="12">
                        <c:v>181.71428571428578</c:v>
                      </c:pt>
                      <c:pt idx="13">
                        <c:v>324.28571428571422</c:v>
                      </c:pt>
                      <c:pt idx="14">
                        <c:v>445</c:v>
                      </c:pt>
                      <c:pt idx="15">
                        <c:v>-165.28571428571422</c:v>
                      </c:pt>
                      <c:pt idx="16">
                        <c:v>-587.14285714285711</c:v>
                      </c:pt>
                      <c:pt idx="17">
                        <c:v>-536</c:v>
                      </c:pt>
                      <c:pt idx="18">
                        <c:v>334.85714285714289</c:v>
                      </c:pt>
                      <c:pt idx="19">
                        <c:v>143.57142857142867</c:v>
                      </c:pt>
                      <c:pt idx="20">
                        <c:v>402</c:v>
                      </c:pt>
                      <c:pt idx="21">
                        <c:v>144</c:v>
                      </c:pt>
                      <c:pt idx="22">
                        <c:v>131.57142857142867</c:v>
                      </c:pt>
                      <c:pt idx="23">
                        <c:v>-410.42857142857133</c:v>
                      </c:pt>
                      <c:pt idx="24">
                        <c:v>-537.71428571428578</c:v>
                      </c:pt>
                      <c:pt idx="25">
                        <c:v>162</c:v>
                      </c:pt>
                      <c:pt idx="26">
                        <c:v>180.71428571428578</c:v>
                      </c:pt>
                      <c:pt idx="27">
                        <c:v>339.85714285714289</c:v>
                      </c:pt>
                      <c:pt idx="28">
                        <c:v>235.42857142857133</c:v>
                      </c:pt>
                      <c:pt idx="29">
                        <c:v>-135.42857142857133</c:v>
                      </c:pt>
                      <c:pt idx="30">
                        <c:v>-907.28571428571422</c:v>
                      </c:pt>
                      <c:pt idx="31">
                        <c:v>-940.42857142857133</c:v>
                      </c:pt>
                      <c:pt idx="32">
                        <c:v>754.85714285714266</c:v>
                      </c:pt>
                      <c:pt idx="33">
                        <c:v>530.71428571428578</c:v>
                      </c:pt>
                      <c:pt idx="34">
                        <c:v>720.14285714285734</c:v>
                      </c:pt>
                      <c:pt idx="35">
                        <c:v>281.85714285714266</c:v>
                      </c:pt>
                      <c:pt idx="36">
                        <c:v>-152.57142857142844</c:v>
                      </c:pt>
                      <c:pt idx="37">
                        <c:v>-884.71428571428578</c:v>
                      </c:pt>
                      <c:pt idx="38">
                        <c:v>-616.57142857142844</c:v>
                      </c:pt>
                      <c:pt idx="39">
                        <c:v>630.42857142857156</c:v>
                      </c:pt>
                      <c:pt idx="40">
                        <c:v>-49.285714285714221</c:v>
                      </c:pt>
                      <c:pt idx="41">
                        <c:v>440.42857142857156</c:v>
                      </c:pt>
                      <c:pt idx="42">
                        <c:v>780.57142857142844</c:v>
                      </c:pt>
                      <c:pt idx="43">
                        <c:v>-212.42857142857156</c:v>
                      </c:pt>
                      <c:pt idx="44">
                        <c:v>-661.28571428571422</c:v>
                      </c:pt>
                      <c:pt idx="45">
                        <c:v>-1046.5714285714284</c:v>
                      </c:pt>
                      <c:pt idx="46">
                        <c:v>590.42857142857156</c:v>
                      </c:pt>
                      <c:pt idx="47">
                        <c:v>209.42857142857156</c:v>
                      </c:pt>
                      <c:pt idx="48">
                        <c:v>608</c:v>
                      </c:pt>
                      <c:pt idx="49">
                        <c:v>-103.57142857142844</c:v>
                      </c:pt>
                      <c:pt idx="50">
                        <c:v>588.16666666666652</c:v>
                      </c:pt>
                      <c:pt idx="51">
                        <c:v>-703.80000000000018</c:v>
                      </c:pt>
                      <c:pt idx="52">
                        <c:v>-511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3B4F-439C-90FF-8800BF6159C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Section_2!$E$1:$E$4</c15:sqref>
                        </c15:formulaRef>
                      </c:ext>
                    </c:extLst>
                    <c:strCache>
                      <c:ptCount val="1"/>
                      <c:pt idx="0">
                        <c:v>Day Monday Tuesday Wednesday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Section_2!$E$2:$E$57</c15:sqref>
                        </c15:formulaRef>
                      </c:ext>
                    </c:extLst>
                    <c:strCache>
                      <c:ptCount val="56"/>
                      <c:pt idx="0">
                        <c:v>Monday</c:v>
                      </c:pt>
                      <c:pt idx="1">
                        <c:v>Tuesday</c:v>
                      </c:pt>
                      <c:pt idx="2">
                        <c:v>Wednesday</c:v>
                      </c:pt>
                      <c:pt idx="3">
                        <c:v>Thursday</c:v>
                      </c:pt>
                      <c:pt idx="4">
                        <c:v>Friday</c:v>
                      </c:pt>
                      <c:pt idx="5">
                        <c:v>Saturday</c:v>
                      </c:pt>
                      <c:pt idx="6">
                        <c:v>Sunday</c:v>
                      </c:pt>
                      <c:pt idx="7">
                        <c:v>Monday</c:v>
                      </c:pt>
                      <c:pt idx="8">
                        <c:v>Tuesday</c:v>
                      </c:pt>
                      <c:pt idx="9">
                        <c:v>Wednesday</c:v>
                      </c:pt>
                      <c:pt idx="10">
                        <c:v>Thursday</c:v>
                      </c:pt>
                      <c:pt idx="11">
                        <c:v>Friday</c:v>
                      </c:pt>
                      <c:pt idx="12">
                        <c:v>Saturday</c:v>
                      </c:pt>
                      <c:pt idx="13">
                        <c:v>Sunday</c:v>
                      </c:pt>
                      <c:pt idx="14">
                        <c:v>Monday</c:v>
                      </c:pt>
                      <c:pt idx="15">
                        <c:v>Tuesday</c:v>
                      </c:pt>
                      <c:pt idx="16">
                        <c:v>Wednesday</c:v>
                      </c:pt>
                      <c:pt idx="17">
                        <c:v>Thursday</c:v>
                      </c:pt>
                      <c:pt idx="18">
                        <c:v>Friday</c:v>
                      </c:pt>
                      <c:pt idx="19">
                        <c:v>Saturday</c:v>
                      </c:pt>
                      <c:pt idx="20">
                        <c:v>Sunday</c:v>
                      </c:pt>
                      <c:pt idx="21">
                        <c:v>Monday</c:v>
                      </c:pt>
                      <c:pt idx="22">
                        <c:v>Tuesday</c:v>
                      </c:pt>
                      <c:pt idx="23">
                        <c:v>Wednesday</c:v>
                      </c:pt>
                      <c:pt idx="24">
                        <c:v>Thursday</c:v>
                      </c:pt>
                      <c:pt idx="25">
                        <c:v>Friday</c:v>
                      </c:pt>
                      <c:pt idx="26">
                        <c:v>Saturday</c:v>
                      </c:pt>
                      <c:pt idx="27">
                        <c:v>Sunday</c:v>
                      </c:pt>
                      <c:pt idx="28">
                        <c:v>Monday</c:v>
                      </c:pt>
                      <c:pt idx="29">
                        <c:v>Tuesday</c:v>
                      </c:pt>
                      <c:pt idx="30">
                        <c:v>Wednesday</c:v>
                      </c:pt>
                      <c:pt idx="31">
                        <c:v>Thursday</c:v>
                      </c:pt>
                      <c:pt idx="32">
                        <c:v>Friday</c:v>
                      </c:pt>
                      <c:pt idx="33">
                        <c:v>Saturday</c:v>
                      </c:pt>
                      <c:pt idx="34">
                        <c:v>Sunday</c:v>
                      </c:pt>
                      <c:pt idx="35">
                        <c:v>Monday</c:v>
                      </c:pt>
                      <c:pt idx="36">
                        <c:v>Tuesday</c:v>
                      </c:pt>
                      <c:pt idx="37">
                        <c:v>Wednesday</c:v>
                      </c:pt>
                      <c:pt idx="38">
                        <c:v>Thursday</c:v>
                      </c:pt>
                      <c:pt idx="39">
                        <c:v>Friday</c:v>
                      </c:pt>
                      <c:pt idx="40">
                        <c:v>Saturday</c:v>
                      </c:pt>
                      <c:pt idx="41">
                        <c:v>Sunday</c:v>
                      </c:pt>
                      <c:pt idx="42">
                        <c:v>Monday</c:v>
                      </c:pt>
                      <c:pt idx="43">
                        <c:v>Tuesday</c:v>
                      </c:pt>
                      <c:pt idx="44">
                        <c:v>Wednesday</c:v>
                      </c:pt>
                      <c:pt idx="45">
                        <c:v>Thursday</c:v>
                      </c:pt>
                      <c:pt idx="46">
                        <c:v>Friday</c:v>
                      </c:pt>
                      <c:pt idx="47">
                        <c:v>Saturday</c:v>
                      </c:pt>
                      <c:pt idx="48">
                        <c:v>Sunday</c:v>
                      </c:pt>
                      <c:pt idx="49">
                        <c:v>Monday</c:v>
                      </c:pt>
                      <c:pt idx="50">
                        <c:v>Tuesday</c:v>
                      </c:pt>
                      <c:pt idx="51">
                        <c:v>Wednesday</c:v>
                      </c:pt>
                      <c:pt idx="52">
                        <c:v>Thursday</c:v>
                      </c:pt>
                      <c:pt idx="53">
                        <c:v>Friday</c:v>
                      </c:pt>
                      <c:pt idx="54">
                        <c:v>Saturday</c:v>
                      </c:pt>
                      <c:pt idx="55">
                        <c:v>Sunday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Section_2!$E$5:$E$57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B4F-439C-90FF-8800BF6159CC}"/>
                  </c:ext>
                </c:extLst>
              </c15:ser>
            </c15:filteredLineSeries>
          </c:ext>
        </c:extLst>
      </c:lineChart>
      <c:catAx>
        <c:axId val="20519270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Days</a:t>
                </a:r>
                <a:r>
                  <a:rPr lang="en-IN" baseline="0"/>
                  <a:t> of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77615"/>
        <c:crosses val="autoZero"/>
        <c:auto val="1"/>
        <c:lblAlgn val="ctr"/>
        <c:lblOffset val="100"/>
        <c:noMultiLvlLbl val="0"/>
      </c:catAx>
      <c:valAx>
        <c:axId val="13567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Median Seasonal 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927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</xdr:row>
      <xdr:rowOff>3810</xdr:rowOff>
    </xdr:from>
    <xdr:to>
      <xdr:col>19</xdr:col>
      <xdr:colOff>38100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DAE27D-27F1-FBBE-AF9D-1193922665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30</xdr:row>
      <xdr:rowOff>106680</xdr:rowOff>
    </xdr:from>
    <xdr:to>
      <xdr:col>18</xdr:col>
      <xdr:colOff>213360</xdr:colOff>
      <xdr:row>43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90C843-5836-C4A3-9B37-131DC841F7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652A1D-4B4B-43BE-B018-6155FEC92980}" name="Table1" displayName="Table1" ref="A1:E57" totalsRowShown="0" headerRowBorderDxfId="5" tableBorderDxfId="4" totalsRowBorderDxfId="3">
  <autoFilter ref="A1:E57" xr:uid="{2E652A1D-4B4B-43BE-B018-6155FEC92980}"/>
  <tableColumns count="5">
    <tableColumn id="1" xr3:uid="{5308FE9D-2721-41B8-BCE9-A72EA5692BBD}" name="Date" dataDxfId="2"/>
    <tableColumn id="2" xr3:uid="{64C5D4EA-E975-4A64-B890-B836C48D580B}" name="New Calls" dataDxfId="1" dataCellStyle="Comma"/>
    <tableColumn id="3" xr3:uid="{5854EC93-B138-4B8A-ABEA-D78651B1862C}" name="7‑Day CMA"/>
    <tableColumn id="4" xr3:uid="{5E5ED449-DE0B-4B2F-A6EE-CF5283C436E1}" name="Detrended Calls" dataDxfId="0">
      <calculatedColumnFormula>B2-C2</calculatedColumnFormula>
    </tableColumn>
    <tableColumn id="5" xr3:uid="{D3425320-E2BA-43F3-B62D-2C5F796B386D}" name="Day">
      <calculatedColumnFormula>TEXT(A2, "dddd")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FD891-6FD4-4BD9-BDE4-7E62BE80E724}">
  <sheetPr codeName="Sheet1"/>
  <dimension ref="B2:J60"/>
  <sheetViews>
    <sheetView topLeftCell="A26" zoomScale="70" zoomScaleNormal="70" workbookViewId="0">
      <selection activeCell="M53" sqref="M53"/>
    </sheetView>
  </sheetViews>
  <sheetFormatPr defaultColWidth="8.77734375" defaultRowHeight="15.6" x14ac:dyDescent="0.3"/>
  <cols>
    <col min="1" max="1" width="8.77734375" style="1"/>
    <col min="2" max="2" width="12.77734375" style="1" customWidth="1"/>
    <col min="3" max="3" width="14" style="1" bestFit="1" customWidth="1"/>
    <col min="4" max="5" width="8.77734375" style="1"/>
    <col min="6" max="6" width="8.77734375" style="1" customWidth="1"/>
    <col min="7" max="16384" width="8.77734375" style="1"/>
  </cols>
  <sheetData>
    <row r="2" spans="2:10" x14ac:dyDescent="0.3">
      <c r="B2" s="2" t="s">
        <v>0</v>
      </c>
    </row>
    <row r="4" spans="2:10" x14ac:dyDescent="0.3">
      <c r="B4" s="4" t="s">
        <v>1</v>
      </c>
      <c r="C4" s="5" t="s">
        <v>2</v>
      </c>
      <c r="D4" s="3"/>
      <c r="E4" s="3"/>
      <c r="F4" s="3"/>
      <c r="G4" s="3"/>
      <c r="H4" s="3"/>
      <c r="I4" s="3"/>
      <c r="J4" s="3"/>
    </row>
    <row r="5" spans="2:10" x14ac:dyDescent="0.3">
      <c r="B5" s="6">
        <v>45047</v>
      </c>
      <c r="C5" s="7">
        <v>1576</v>
      </c>
      <c r="D5" s="3"/>
      <c r="E5" s="3"/>
      <c r="F5" s="3"/>
      <c r="G5" s="3"/>
      <c r="H5" s="3"/>
      <c r="I5" s="3"/>
      <c r="J5" s="3"/>
    </row>
    <row r="6" spans="2:10" x14ac:dyDescent="0.3">
      <c r="B6" s="6">
        <v>45048</v>
      </c>
      <c r="C6" s="7">
        <v>2299</v>
      </c>
      <c r="D6" s="3"/>
      <c r="E6" s="3"/>
      <c r="F6" s="3"/>
      <c r="G6" s="3"/>
      <c r="H6" s="3"/>
      <c r="I6" s="3"/>
      <c r="J6" s="3"/>
    </row>
    <row r="7" spans="2:10" x14ac:dyDescent="0.3">
      <c r="B7" s="6">
        <v>45049</v>
      </c>
      <c r="C7" s="7">
        <v>1878</v>
      </c>
      <c r="D7" s="3"/>
      <c r="E7" s="3"/>
      <c r="F7" s="3"/>
      <c r="G7" s="3"/>
      <c r="H7" s="3"/>
      <c r="I7" s="3"/>
      <c r="J7" s="3"/>
    </row>
    <row r="8" spans="2:10" x14ac:dyDescent="0.3">
      <c r="B8" s="6">
        <v>45050</v>
      </c>
      <c r="C8" s="7">
        <v>1628</v>
      </c>
      <c r="D8" s="3"/>
      <c r="E8" s="3"/>
      <c r="F8" s="3"/>
      <c r="G8" s="3"/>
      <c r="H8" s="3"/>
      <c r="I8" s="3"/>
      <c r="J8" s="3"/>
    </row>
    <row r="9" spans="2:10" x14ac:dyDescent="0.3">
      <c r="B9" s="6">
        <v>45051</v>
      </c>
      <c r="C9" s="7">
        <v>1555</v>
      </c>
      <c r="D9" s="3"/>
      <c r="E9" s="3"/>
      <c r="F9" s="3"/>
      <c r="G9" s="3"/>
      <c r="H9" s="3"/>
      <c r="I9" s="3"/>
      <c r="J9" s="3"/>
    </row>
    <row r="10" spans="2:10" x14ac:dyDescent="0.3">
      <c r="B10" s="6">
        <v>45052</v>
      </c>
      <c r="C10" s="7">
        <v>1240</v>
      </c>
      <c r="D10" s="3"/>
      <c r="E10" s="3"/>
      <c r="F10" s="3"/>
      <c r="G10" s="3"/>
      <c r="H10" s="3"/>
      <c r="I10" s="3"/>
      <c r="J10" s="3"/>
    </row>
    <row r="11" spans="2:10" x14ac:dyDescent="0.3">
      <c r="B11" s="6">
        <v>45053</v>
      </c>
      <c r="C11" s="7">
        <v>864</v>
      </c>
      <c r="D11" s="3"/>
      <c r="E11" s="3"/>
      <c r="F11" s="3"/>
      <c r="G11" s="3"/>
      <c r="H11" s="3"/>
      <c r="I11" s="3"/>
      <c r="J11" s="3"/>
    </row>
    <row r="12" spans="2:10" x14ac:dyDescent="0.3">
      <c r="B12" s="6">
        <v>45054</v>
      </c>
      <c r="C12" s="7">
        <v>1882</v>
      </c>
      <c r="D12" s="3"/>
      <c r="E12" s="3"/>
      <c r="F12" s="3"/>
      <c r="G12" s="3"/>
      <c r="H12" s="3"/>
      <c r="I12" s="3"/>
      <c r="J12" s="3"/>
    </row>
    <row r="13" spans="2:10" x14ac:dyDescent="0.3">
      <c r="B13" s="6">
        <v>45055</v>
      </c>
      <c r="C13" s="7">
        <v>2306</v>
      </c>
      <c r="D13" s="3"/>
      <c r="E13" s="3"/>
      <c r="F13" s="3"/>
      <c r="G13" s="3"/>
      <c r="H13" s="3"/>
      <c r="I13" s="3"/>
      <c r="J13" s="3"/>
    </row>
    <row r="14" spans="2:10" x14ac:dyDescent="0.3">
      <c r="B14" s="6">
        <v>45056</v>
      </c>
      <c r="C14" s="7">
        <v>1988</v>
      </c>
      <c r="D14" s="3"/>
      <c r="E14" s="3"/>
      <c r="F14" s="3"/>
      <c r="G14" s="3"/>
      <c r="H14" s="3"/>
      <c r="I14" s="3"/>
      <c r="J14" s="3"/>
    </row>
    <row r="15" spans="2:10" x14ac:dyDescent="0.3">
      <c r="B15" s="6">
        <v>45057</v>
      </c>
      <c r="C15" s="7">
        <v>1886</v>
      </c>
      <c r="D15" s="3"/>
      <c r="E15" s="3"/>
      <c r="F15" s="3"/>
      <c r="G15" s="3"/>
      <c r="H15" s="3"/>
      <c r="I15" s="3"/>
      <c r="J15" s="3"/>
    </row>
    <row r="16" spans="2:10" x14ac:dyDescent="0.3">
      <c r="B16" s="6">
        <v>45058</v>
      </c>
      <c r="C16" s="7">
        <v>1365</v>
      </c>
      <c r="D16" s="3"/>
      <c r="E16" s="3"/>
      <c r="F16" s="3"/>
      <c r="G16" s="3"/>
      <c r="H16" s="3"/>
      <c r="I16" s="3"/>
      <c r="J16" s="3"/>
    </row>
    <row r="17" spans="2:10" x14ac:dyDescent="0.3">
      <c r="B17" s="6">
        <v>45059</v>
      </c>
      <c r="C17" s="7">
        <v>998</v>
      </c>
      <c r="D17" s="3"/>
      <c r="E17" s="3"/>
      <c r="F17" s="3"/>
      <c r="G17" s="3"/>
      <c r="H17" s="3"/>
      <c r="I17" s="3"/>
      <c r="J17" s="3"/>
    </row>
    <row r="18" spans="2:10" x14ac:dyDescent="0.3">
      <c r="B18" s="6">
        <v>45060</v>
      </c>
      <c r="C18" s="7">
        <v>1052</v>
      </c>
      <c r="D18" s="3"/>
      <c r="E18" s="3"/>
      <c r="F18" s="3"/>
      <c r="G18" s="3"/>
      <c r="H18" s="3"/>
      <c r="I18" s="3"/>
      <c r="J18" s="3"/>
    </row>
    <row r="19" spans="2:10" x14ac:dyDescent="0.3">
      <c r="B19" s="6">
        <v>45061</v>
      </c>
      <c r="C19" s="7">
        <v>1905</v>
      </c>
      <c r="D19" s="3"/>
      <c r="E19" s="3"/>
      <c r="F19" s="3"/>
      <c r="G19" s="3"/>
      <c r="H19" s="3"/>
      <c r="I19" s="3"/>
      <c r="J19" s="3"/>
    </row>
    <row r="20" spans="2:10" x14ac:dyDescent="0.3">
      <c r="B20" s="6">
        <v>45062</v>
      </c>
      <c r="C20" s="7">
        <v>1767</v>
      </c>
      <c r="D20" s="3"/>
      <c r="E20" s="3"/>
      <c r="F20" s="3"/>
      <c r="G20" s="3"/>
      <c r="H20" s="3"/>
      <c r="I20" s="3"/>
      <c r="J20" s="3"/>
    </row>
    <row r="21" spans="2:10" x14ac:dyDescent="0.3">
      <c r="B21" s="6">
        <v>45063</v>
      </c>
      <c r="C21" s="7">
        <v>1911</v>
      </c>
      <c r="D21" s="3"/>
      <c r="E21" s="3"/>
      <c r="F21" s="3"/>
      <c r="G21" s="3"/>
      <c r="H21" s="3"/>
      <c r="I21" s="3"/>
      <c r="J21" s="3"/>
    </row>
    <row r="22" spans="2:10" x14ac:dyDescent="0.3">
      <c r="B22" s="6">
        <v>45064</v>
      </c>
      <c r="C22" s="7">
        <v>2036</v>
      </c>
      <c r="D22" s="3"/>
      <c r="E22" s="3"/>
      <c r="F22" s="3"/>
      <c r="G22" s="3"/>
      <c r="H22" s="3"/>
      <c r="I22" s="3"/>
      <c r="J22" s="3"/>
    </row>
    <row r="23" spans="2:10" x14ac:dyDescent="0.3">
      <c r="B23" s="6">
        <v>45065</v>
      </c>
      <c r="C23" s="7">
        <v>1428</v>
      </c>
      <c r="D23" s="3"/>
      <c r="E23" s="3"/>
      <c r="F23" s="3"/>
      <c r="G23" s="3"/>
      <c r="H23" s="3"/>
      <c r="I23" s="3"/>
      <c r="J23" s="3"/>
    </row>
    <row r="24" spans="2:10" x14ac:dyDescent="0.3">
      <c r="B24" s="6">
        <v>45066</v>
      </c>
      <c r="C24" s="7">
        <v>1008</v>
      </c>
      <c r="D24" s="3"/>
      <c r="E24" s="3"/>
      <c r="F24" s="3"/>
      <c r="G24" s="3"/>
      <c r="H24" s="3"/>
      <c r="I24" s="3"/>
      <c r="J24" s="3"/>
    </row>
    <row r="25" spans="2:10" x14ac:dyDescent="0.3">
      <c r="B25" s="6">
        <v>45067</v>
      </c>
      <c r="C25" s="7">
        <v>1082</v>
      </c>
      <c r="D25" s="3"/>
      <c r="E25" s="3"/>
      <c r="F25" s="3"/>
      <c r="G25" s="3"/>
      <c r="H25" s="3"/>
      <c r="I25" s="3"/>
      <c r="J25" s="3"/>
    </row>
    <row r="26" spans="2:10" x14ac:dyDescent="0.3">
      <c r="B26" s="6">
        <v>45068</v>
      </c>
      <c r="C26" s="7">
        <v>1921</v>
      </c>
      <c r="D26" s="3"/>
      <c r="E26" s="3"/>
      <c r="F26" s="3"/>
      <c r="G26" s="3"/>
      <c r="H26" s="3"/>
      <c r="I26" s="3"/>
      <c r="J26" s="3"/>
    </row>
    <row r="27" spans="2:10" x14ac:dyDescent="0.3">
      <c r="B27" s="6">
        <v>45069</v>
      </c>
      <c r="C27" s="7">
        <v>1780</v>
      </c>
      <c r="D27" s="3"/>
      <c r="E27" s="3"/>
      <c r="F27" s="3"/>
      <c r="G27" s="3"/>
      <c r="H27" s="3"/>
      <c r="I27" s="3"/>
      <c r="J27" s="3"/>
    </row>
    <row r="28" spans="2:10" x14ac:dyDescent="0.3">
      <c r="B28" s="6">
        <v>45070</v>
      </c>
      <c r="C28" s="7">
        <v>2071</v>
      </c>
      <c r="D28" s="3"/>
      <c r="E28" s="3"/>
      <c r="F28" s="3"/>
      <c r="G28" s="3"/>
      <c r="H28" s="3"/>
      <c r="I28" s="3"/>
      <c r="J28" s="3"/>
    </row>
    <row r="29" spans="2:10" x14ac:dyDescent="0.3">
      <c r="B29" s="6">
        <v>45071</v>
      </c>
      <c r="C29" s="7">
        <v>1813</v>
      </c>
      <c r="D29" s="3"/>
      <c r="E29" s="3"/>
      <c r="F29" s="3"/>
      <c r="G29" s="3"/>
      <c r="H29" s="3"/>
      <c r="I29" s="3"/>
      <c r="J29" s="3"/>
    </row>
    <row r="30" spans="2:10" x14ac:dyDescent="0.3">
      <c r="B30" s="6">
        <v>45072</v>
      </c>
      <c r="C30" s="7">
        <v>1780</v>
      </c>
      <c r="D30" s="3"/>
      <c r="E30" s="3"/>
      <c r="F30" s="3"/>
      <c r="G30" s="3"/>
      <c r="H30" s="3"/>
      <c r="I30" s="3"/>
      <c r="J30" s="3"/>
    </row>
    <row r="31" spans="2:10" x14ac:dyDescent="0.3">
      <c r="B31" s="6">
        <v>45073</v>
      </c>
      <c r="C31" s="7">
        <v>1236</v>
      </c>
      <c r="D31" s="3"/>
      <c r="E31" s="3"/>
      <c r="F31" s="3"/>
      <c r="G31" s="3"/>
      <c r="H31" s="3"/>
      <c r="I31" s="3"/>
      <c r="J31" s="3"/>
    </row>
    <row r="32" spans="2:10" x14ac:dyDescent="0.3">
      <c r="B32" s="6">
        <v>45074</v>
      </c>
      <c r="C32" s="7">
        <v>1082</v>
      </c>
      <c r="D32" s="3"/>
      <c r="E32" s="3"/>
      <c r="F32" s="3"/>
      <c r="G32" s="3"/>
      <c r="H32" s="3"/>
      <c r="I32" s="3"/>
      <c r="J32" s="3"/>
    </row>
    <row r="33" spans="2:10" x14ac:dyDescent="0.3">
      <c r="B33" s="6">
        <v>45075</v>
      </c>
      <c r="C33" s="7">
        <v>1777</v>
      </c>
      <c r="D33" s="3"/>
      <c r="E33" s="3"/>
      <c r="F33" s="3"/>
      <c r="G33" s="3"/>
      <c r="H33" s="3"/>
      <c r="I33" s="3"/>
      <c r="J33" s="3"/>
    </row>
    <row r="34" spans="2:10" x14ac:dyDescent="0.3">
      <c r="B34" s="6">
        <v>45076</v>
      </c>
      <c r="C34" s="7">
        <v>1766</v>
      </c>
      <c r="D34" s="3"/>
      <c r="E34" s="3"/>
      <c r="F34" s="3"/>
      <c r="G34" s="3"/>
      <c r="H34" s="3"/>
      <c r="I34" s="3"/>
      <c r="J34" s="3"/>
    </row>
    <row r="35" spans="2:10" x14ac:dyDescent="0.3">
      <c r="B35" s="6">
        <v>45077</v>
      </c>
      <c r="C35" s="7">
        <v>1884</v>
      </c>
      <c r="D35" s="3"/>
      <c r="E35" s="3"/>
      <c r="F35" s="3"/>
      <c r="G35" s="3"/>
      <c r="H35" s="3"/>
      <c r="I35" s="3"/>
      <c r="J35" s="3"/>
    </row>
    <row r="36" spans="2:10" x14ac:dyDescent="0.3">
      <c r="B36" s="6">
        <v>45078</v>
      </c>
      <c r="C36" s="7">
        <v>1780</v>
      </c>
      <c r="D36" s="3"/>
      <c r="E36" s="3"/>
      <c r="F36" s="3"/>
      <c r="G36" s="3"/>
      <c r="H36" s="3"/>
      <c r="I36" s="3"/>
      <c r="J36" s="3"/>
    </row>
    <row r="37" spans="2:10" x14ac:dyDescent="0.3">
      <c r="B37" s="6">
        <v>45079</v>
      </c>
      <c r="C37" s="7">
        <v>1572</v>
      </c>
      <c r="D37" s="3"/>
      <c r="E37" s="3"/>
      <c r="F37" s="3"/>
      <c r="G37" s="3"/>
      <c r="H37" s="3"/>
      <c r="I37" s="3"/>
      <c r="J37" s="3"/>
    </row>
    <row r="38" spans="2:10" x14ac:dyDescent="0.3">
      <c r="B38" s="6">
        <v>45080</v>
      </c>
      <c r="C38" s="7">
        <v>948</v>
      </c>
      <c r="D38" s="3"/>
      <c r="E38" s="3"/>
      <c r="F38" s="3"/>
      <c r="G38" s="3"/>
      <c r="H38" s="3"/>
      <c r="I38" s="3"/>
      <c r="J38" s="3"/>
    </row>
    <row r="39" spans="2:10" x14ac:dyDescent="0.3">
      <c r="B39" s="6">
        <v>45081</v>
      </c>
      <c r="C39" s="7">
        <v>1085</v>
      </c>
      <c r="D39" s="3"/>
      <c r="E39" s="3"/>
      <c r="F39" s="3"/>
      <c r="G39" s="3"/>
      <c r="H39" s="3"/>
      <c r="I39" s="3"/>
      <c r="J39" s="3"/>
    </row>
    <row r="40" spans="2:10" x14ac:dyDescent="0.3">
      <c r="B40" s="6">
        <v>45082</v>
      </c>
      <c r="C40" s="7">
        <v>2917</v>
      </c>
      <c r="D40" s="3"/>
      <c r="E40" s="3"/>
      <c r="F40" s="3"/>
      <c r="G40" s="3"/>
      <c r="H40" s="3"/>
      <c r="I40" s="3"/>
      <c r="J40" s="3"/>
    </row>
    <row r="41" spans="2:10" x14ac:dyDescent="0.3">
      <c r="B41" s="6">
        <v>45083</v>
      </c>
      <c r="C41" s="7">
        <v>2801</v>
      </c>
      <c r="D41" s="3"/>
      <c r="E41" s="3"/>
      <c r="F41" s="3"/>
      <c r="G41" s="3"/>
      <c r="H41" s="3"/>
      <c r="I41" s="3"/>
      <c r="J41" s="3"/>
    </row>
    <row r="42" spans="2:10" x14ac:dyDescent="0.3">
      <c r="B42" s="6">
        <v>45084</v>
      </c>
      <c r="C42" s="7">
        <v>3075</v>
      </c>
      <c r="D42" s="3"/>
      <c r="E42" s="3"/>
      <c r="F42" s="3"/>
      <c r="G42" s="3"/>
      <c r="H42" s="3"/>
      <c r="I42" s="3"/>
      <c r="J42" s="3"/>
    </row>
    <row r="43" spans="2:10" x14ac:dyDescent="0.3">
      <c r="B43" s="6">
        <v>45085</v>
      </c>
      <c r="C43" s="7">
        <v>2737</v>
      </c>
      <c r="D43" s="3"/>
      <c r="E43" s="3"/>
      <c r="F43" s="3"/>
      <c r="G43" s="3"/>
      <c r="H43" s="3"/>
      <c r="I43" s="3"/>
      <c r="J43" s="3"/>
    </row>
    <row r="44" spans="2:10" x14ac:dyDescent="0.3">
      <c r="B44" s="6">
        <v>45086</v>
      </c>
      <c r="C44" s="7">
        <v>2329</v>
      </c>
      <c r="D44" s="3"/>
      <c r="E44" s="3"/>
      <c r="F44" s="3"/>
      <c r="G44" s="3"/>
      <c r="H44" s="3"/>
      <c r="I44" s="3"/>
      <c r="J44" s="3"/>
    </row>
    <row r="45" spans="2:10" x14ac:dyDescent="0.3">
      <c r="B45" s="6">
        <v>45087</v>
      </c>
      <c r="C45" s="7">
        <v>1540</v>
      </c>
      <c r="D45" s="3"/>
      <c r="E45" s="3"/>
      <c r="F45" s="3"/>
      <c r="G45" s="3"/>
      <c r="H45" s="3"/>
      <c r="I45" s="3"/>
      <c r="J45" s="3"/>
    </row>
    <row r="46" spans="2:10" x14ac:dyDescent="0.3">
      <c r="B46" s="6">
        <v>45088</v>
      </c>
      <c r="C46" s="7">
        <v>1787</v>
      </c>
      <c r="D46" s="3"/>
      <c r="E46" s="3"/>
      <c r="F46" s="3"/>
      <c r="G46" s="3"/>
      <c r="H46" s="3"/>
      <c r="I46" s="3"/>
      <c r="J46" s="3"/>
    </row>
    <row r="47" spans="2:10" x14ac:dyDescent="0.3">
      <c r="B47" s="6">
        <v>45089</v>
      </c>
      <c r="C47" s="7">
        <v>3102</v>
      </c>
      <c r="D47" s="3"/>
      <c r="E47" s="3"/>
      <c r="F47" s="3"/>
      <c r="G47" s="3"/>
      <c r="H47" s="3"/>
      <c r="I47" s="3"/>
      <c r="J47" s="3"/>
    </row>
    <row r="48" spans="2:10" x14ac:dyDescent="0.3">
      <c r="B48" s="6">
        <v>45090</v>
      </c>
      <c r="C48" s="7">
        <v>2403</v>
      </c>
      <c r="D48" s="3"/>
      <c r="E48" s="3"/>
      <c r="F48" s="3"/>
      <c r="G48" s="3"/>
      <c r="H48" s="3"/>
      <c r="I48" s="3"/>
      <c r="J48" s="3"/>
    </row>
    <row r="49" spans="2:10" x14ac:dyDescent="0.3">
      <c r="B49" s="6">
        <v>45091</v>
      </c>
      <c r="C49" s="7">
        <v>2927</v>
      </c>
      <c r="D49" s="3"/>
      <c r="E49" s="3"/>
      <c r="F49" s="3"/>
      <c r="G49" s="3"/>
      <c r="H49" s="3"/>
      <c r="I49" s="3"/>
      <c r="J49" s="3"/>
    </row>
    <row r="50" spans="2:10" x14ac:dyDescent="0.3">
      <c r="B50" s="6">
        <v>45092</v>
      </c>
      <c r="C50" s="7">
        <v>3213</v>
      </c>
      <c r="D50" s="3"/>
      <c r="E50" s="3"/>
      <c r="F50" s="3"/>
      <c r="G50" s="3"/>
      <c r="H50" s="3"/>
      <c r="I50" s="3"/>
      <c r="J50" s="3"/>
    </row>
    <row r="51" spans="2:10" x14ac:dyDescent="0.3">
      <c r="B51" s="6">
        <v>45093</v>
      </c>
      <c r="C51" s="7">
        <v>2194</v>
      </c>
      <c r="D51" s="3"/>
      <c r="E51" s="3"/>
      <c r="F51" s="3"/>
      <c r="G51" s="3"/>
      <c r="H51" s="3"/>
      <c r="I51" s="3"/>
      <c r="J51" s="3"/>
    </row>
    <row r="52" spans="2:10" x14ac:dyDescent="0.3">
      <c r="B52" s="6">
        <v>45094</v>
      </c>
      <c r="C52" s="7">
        <v>1780</v>
      </c>
      <c r="D52" s="3"/>
      <c r="E52" s="3"/>
      <c r="F52" s="3"/>
      <c r="G52" s="3"/>
      <c r="H52" s="3"/>
      <c r="I52" s="3"/>
      <c r="J52" s="3"/>
    </row>
    <row r="53" spans="2:10" x14ac:dyDescent="0.3">
      <c r="B53" s="6">
        <v>45095</v>
      </c>
      <c r="C53" s="7">
        <v>1408</v>
      </c>
    </row>
    <row r="54" spans="2:10" x14ac:dyDescent="0.3">
      <c r="B54" s="6">
        <v>45096</v>
      </c>
      <c r="C54" s="7">
        <v>2920</v>
      </c>
    </row>
    <row r="55" spans="2:10" x14ac:dyDescent="0.3">
      <c r="B55" s="6">
        <v>45097</v>
      </c>
      <c r="C55" s="7">
        <v>2647</v>
      </c>
    </row>
    <row r="56" spans="2:10" x14ac:dyDescent="0.3">
      <c r="B56" s="6">
        <v>45098</v>
      </c>
      <c r="C56" s="7">
        <v>3020</v>
      </c>
    </row>
    <row r="57" spans="2:10" x14ac:dyDescent="0.3">
      <c r="B57" s="6">
        <v>45099</v>
      </c>
      <c r="C57" s="7">
        <v>2338</v>
      </c>
    </row>
    <row r="58" spans="2:10" x14ac:dyDescent="0.3">
      <c r="B58" s="6">
        <v>45100</v>
      </c>
      <c r="C58" s="7">
        <v>2950</v>
      </c>
    </row>
    <row r="59" spans="2:10" x14ac:dyDescent="0.3">
      <c r="B59" s="6">
        <v>45101</v>
      </c>
      <c r="C59" s="7">
        <v>1601</v>
      </c>
    </row>
    <row r="60" spans="2:10" x14ac:dyDescent="0.3">
      <c r="B60" s="6">
        <v>45102</v>
      </c>
      <c r="C60" s="7">
        <v>1615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637F9-C6C1-4D45-9C02-C6EF1BA0E435}">
  <sheetPr codeName="Sheet2"/>
  <dimension ref="A1:Q57"/>
  <sheetViews>
    <sheetView workbookViewId="0">
      <selection activeCell="H27" sqref="H27"/>
    </sheetView>
  </sheetViews>
  <sheetFormatPr defaultRowHeight="14.4" x14ac:dyDescent="0.3"/>
  <cols>
    <col min="1" max="1" width="13.109375" style="13" bestFit="1" customWidth="1"/>
    <col min="2" max="2" width="10.109375" style="17" bestFit="1" customWidth="1"/>
    <col min="5" max="5" width="10.44140625" bestFit="1" customWidth="1"/>
    <col min="10" max="10" width="20.77734375" bestFit="1" customWidth="1"/>
    <col min="13" max="13" width="10.44140625" customWidth="1"/>
    <col min="15" max="15" width="8.44140625" customWidth="1"/>
  </cols>
  <sheetData>
    <row r="1" spans="1:5" ht="15.6" x14ac:dyDescent="0.3">
      <c r="A1" s="10" t="s">
        <v>1</v>
      </c>
      <c r="B1" s="14" t="s">
        <v>2</v>
      </c>
      <c r="C1" s="9" t="s">
        <v>11</v>
      </c>
      <c r="D1" s="9" t="s">
        <v>12</v>
      </c>
      <c r="E1" s="9" t="s">
        <v>3</v>
      </c>
    </row>
    <row r="2" spans="1:5" ht="15.6" x14ac:dyDescent="0.3">
      <c r="A2" s="11">
        <v>45047</v>
      </c>
      <c r="B2" s="15">
        <v>1576</v>
      </c>
      <c r="D2" s="17"/>
      <c r="E2" t="str">
        <f>TEXT(A2, "dddd")</f>
        <v>Monday</v>
      </c>
    </row>
    <row r="3" spans="1:5" ht="15.6" x14ac:dyDescent="0.3">
      <c r="A3" s="11">
        <v>45048</v>
      </c>
      <c r="B3" s="15">
        <v>2299</v>
      </c>
      <c r="D3" s="17"/>
      <c r="E3" t="str">
        <f t="shared" ref="E3:E57" si="0">TEXT(A3, "dddd")</f>
        <v>Tuesday</v>
      </c>
    </row>
    <row r="4" spans="1:5" ht="15.6" x14ac:dyDescent="0.3">
      <c r="A4" s="11">
        <v>45049</v>
      </c>
      <c r="B4" s="15">
        <v>1878</v>
      </c>
      <c r="D4" s="17"/>
      <c r="E4" t="str">
        <f t="shared" si="0"/>
        <v>Wednesday</v>
      </c>
    </row>
    <row r="5" spans="1:5" ht="15.6" x14ac:dyDescent="0.3">
      <c r="A5" s="11">
        <v>45050</v>
      </c>
      <c r="B5" s="15">
        <v>1628</v>
      </c>
      <c r="C5" s="18">
        <f>AVERAGE(B2:B8)</f>
        <v>1577.1428571428571</v>
      </c>
      <c r="D5" s="17">
        <f t="shared" ref="D5:D33" si="1">B5-C5</f>
        <v>50.85714285714289</v>
      </c>
      <c r="E5" t="str">
        <f t="shared" si="0"/>
        <v>Thursday</v>
      </c>
    </row>
    <row r="6" spans="1:5" ht="15.6" x14ac:dyDescent="0.3">
      <c r="A6" s="11">
        <v>45051</v>
      </c>
      <c r="B6" s="15">
        <v>1555</v>
      </c>
      <c r="C6" s="18">
        <f t="shared" ref="C6:C57" si="2">AVERAGE(B3:B9)</f>
        <v>1620.8571428571429</v>
      </c>
      <c r="D6" s="17">
        <f t="shared" si="1"/>
        <v>-65.85714285714289</v>
      </c>
      <c r="E6" t="str">
        <f t="shared" si="0"/>
        <v>Friday</v>
      </c>
    </row>
    <row r="7" spans="1:5" ht="15.6" x14ac:dyDescent="0.3">
      <c r="A7" s="11">
        <v>45052</v>
      </c>
      <c r="B7" s="15">
        <v>1240</v>
      </c>
      <c r="C7" s="18">
        <f t="shared" si="2"/>
        <v>1621.8571428571429</v>
      </c>
      <c r="D7" s="17">
        <f t="shared" si="1"/>
        <v>-381.85714285714289</v>
      </c>
      <c r="E7" t="str">
        <f t="shared" si="0"/>
        <v>Saturday</v>
      </c>
    </row>
    <row r="8" spans="1:5" ht="15.6" x14ac:dyDescent="0.3">
      <c r="A8" s="11">
        <v>45053</v>
      </c>
      <c r="B8" s="15">
        <v>864</v>
      </c>
      <c r="C8" s="18">
        <f t="shared" si="2"/>
        <v>1637.5714285714287</v>
      </c>
      <c r="D8" s="17">
        <f t="shared" si="1"/>
        <v>-773.57142857142867</v>
      </c>
      <c r="E8" t="str">
        <f t="shared" si="0"/>
        <v>Sunday</v>
      </c>
    </row>
    <row r="9" spans="1:5" ht="15.6" x14ac:dyDescent="0.3">
      <c r="A9" s="11">
        <v>45054</v>
      </c>
      <c r="B9" s="15">
        <v>1882</v>
      </c>
      <c r="C9" s="18">
        <f t="shared" si="2"/>
        <v>1674.4285714285713</v>
      </c>
      <c r="D9" s="17">
        <f t="shared" si="1"/>
        <v>207.57142857142867</v>
      </c>
      <c r="E9" t="str">
        <f t="shared" si="0"/>
        <v>Monday</v>
      </c>
    </row>
    <row r="10" spans="1:5" ht="15.6" x14ac:dyDescent="0.3">
      <c r="A10" s="11">
        <v>45055</v>
      </c>
      <c r="B10" s="15">
        <v>2306</v>
      </c>
      <c r="C10" s="18">
        <f t="shared" si="2"/>
        <v>1647.2857142857142</v>
      </c>
      <c r="D10" s="17">
        <f t="shared" si="1"/>
        <v>658.71428571428578</v>
      </c>
      <c r="E10" t="str">
        <f t="shared" si="0"/>
        <v>Tuesday</v>
      </c>
    </row>
    <row r="11" spans="1:5" ht="15.6" x14ac:dyDescent="0.3">
      <c r="A11" s="11">
        <v>45056</v>
      </c>
      <c r="B11" s="15">
        <v>1988</v>
      </c>
      <c r="C11" s="18">
        <f t="shared" si="2"/>
        <v>1612.7142857142858</v>
      </c>
      <c r="D11" s="17">
        <f t="shared" si="1"/>
        <v>375.28571428571422</v>
      </c>
      <c r="E11" t="str">
        <f t="shared" si="0"/>
        <v>Wednesday</v>
      </c>
    </row>
    <row r="12" spans="1:5" ht="15.6" x14ac:dyDescent="0.3">
      <c r="A12" s="11">
        <v>45057</v>
      </c>
      <c r="B12" s="15">
        <v>1886</v>
      </c>
      <c r="C12" s="18">
        <f t="shared" si="2"/>
        <v>1639.5714285714287</v>
      </c>
      <c r="D12" s="17">
        <f t="shared" si="1"/>
        <v>246.42857142857133</v>
      </c>
      <c r="E12" t="str">
        <f t="shared" si="0"/>
        <v>Thursday</v>
      </c>
    </row>
    <row r="13" spans="1:5" ht="15.6" x14ac:dyDescent="0.3">
      <c r="A13" s="11">
        <v>45058</v>
      </c>
      <c r="B13" s="15">
        <v>1365</v>
      </c>
      <c r="C13" s="18">
        <f t="shared" si="2"/>
        <v>1642.8571428571429</v>
      </c>
      <c r="D13" s="17">
        <f t="shared" si="1"/>
        <v>-277.85714285714289</v>
      </c>
      <c r="E13" t="str">
        <f t="shared" si="0"/>
        <v>Friday</v>
      </c>
    </row>
    <row r="14" spans="1:5" ht="15.6" x14ac:dyDescent="0.3">
      <c r="A14" s="11">
        <v>45059</v>
      </c>
      <c r="B14" s="15">
        <v>998</v>
      </c>
      <c r="C14" s="18">
        <f t="shared" si="2"/>
        <v>1565.8571428571429</v>
      </c>
      <c r="D14" s="17">
        <f t="shared" si="1"/>
        <v>-567.85714285714289</v>
      </c>
      <c r="E14" t="str">
        <f t="shared" si="0"/>
        <v>Saturday</v>
      </c>
    </row>
    <row r="15" spans="1:5" ht="15.6" x14ac:dyDescent="0.3">
      <c r="A15" s="11">
        <v>45060</v>
      </c>
      <c r="B15" s="15">
        <v>1052</v>
      </c>
      <c r="C15" s="18">
        <f t="shared" si="2"/>
        <v>1554.8571428571429</v>
      </c>
      <c r="D15" s="17">
        <f t="shared" si="1"/>
        <v>-502.85714285714289</v>
      </c>
      <c r="E15" t="str">
        <f t="shared" si="0"/>
        <v>Sunday</v>
      </c>
    </row>
    <row r="16" spans="1:5" ht="15.6" x14ac:dyDescent="0.3">
      <c r="A16" s="11">
        <v>45061</v>
      </c>
      <c r="B16" s="15">
        <v>1905</v>
      </c>
      <c r="C16" s="18">
        <f t="shared" si="2"/>
        <v>1576.2857142857142</v>
      </c>
      <c r="D16" s="17">
        <f t="shared" si="1"/>
        <v>328.71428571428578</v>
      </c>
      <c r="E16" t="str">
        <f t="shared" si="0"/>
        <v>Monday</v>
      </c>
    </row>
    <row r="17" spans="1:17" ht="15.6" x14ac:dyDescent="0.3">
      <c r="A17" s="11">
        <v>45062</v>
      </c>
      <c r="B17" s="15">
        <v>1767</v>
      </c>
      <c r="C17" s="18">
        <f t="shared" si="2"/>
        <v>1585.2857142857142</v>
      </c>
      <c r="D17" s="17">
        <f t="shared" si="1"/>
        <v>181.71428571428578</v>
      </c>
      <c r="E17" t="str">
        <f t="shared" si="0"/>
        <v>Tuesday</v>
      </c>
    </row>
    <row r="18" spans="1:17" ht="15.6" x14ac:dyDescent="0.3">
      <c r="A18" s="11">
        <v>45063</v>
      </c>
      <c r="B18" s="15">
        <v>1911</v>
      </c>
      <c r="C18" s="18">
        <f t="shared" si="2"/>
        <v>1586.7142857142858</v>
      </c>
      <c r="D18" s="17">
        <f t="shared" si="1"/>
        <v>324.28571428571422</v>
      </c>
      <c r="E18" t="str">
        <f t="shared" si="0"/>
        <v>Wednesday</v>
      </c>
    </row>
    <row r="19" spans="1:17" ht="15.6" x14ac:dyDescent="0.3">
      <c r="A19" s="11">
        <v>45064</v>
      </c>
      <c r="B19" s="15">
        <v>2036</v>
      </c>
      <c r="C19" s="18">
        <f t="shared" si="2"/>
        <v>1591</v>
      </c>
      <c r="D19" s="17">
        <f t="shared" si="1"/>
        <v>445</v>
      </c>
      <c r="E19" t="str">
        <f t="shared" si="0"/>
        <v>Thursday</v>
      </c>
      <c r="J19" s="8"/>
      <c r="K19" s="8" t="s">
        <v>4</v>
      </c>
      <c r="L19" s="8" t="s">
        <v>5</v>
      </c>
      <c r="M19" s="8" t="s">
        <v>6</v>
      </c>
      <c r="N19" s="8" t="s">
        <v>7</v>
      </c>
      <c r="O19" s="8" t="s">
        <v>8</v>
      </c>
      <c r="P19" s="8" t="s">
        <v>9</v>
      </c>
      <c r="Q19" s="8" t="s">
        <v>10</v>
      </c>
    </row>
    <row r="20" spans="1:17" ht="15.6" x14ac:dyDescent="0.3">
      <c r="A20" s="11">
        <v>45065</v>
      </c>
      <c r="B20" s="15">
        <v>1428</v>
      </c>
      <c r="C20" s="18">
        <f t="shared" si="2"/>
        <v>1593.2857142857142</v>
      </c>
      <c r="D20" s="17">
        <f t="shared" si="1"/>
        <v>-165.28571428571422</v>
      </c>
      <c r="E20" t="str">
        <f t="shared" si="0"/>
        <v>Friday</v>
      </c>
      <c r="J20" s="8" t="s">
        <v>13</v>
      </c>
      <c r="K20" s="8"/>
      <c r="L20" s="8"/>
      <c r="M20" s="8"/>
      <c r="N20" s="8">
        <v>51</v>
      </c>
      <c r="O20" s="8">
        <v>-66</v>
      </c>
      <c r="P20" s="8">
        <v>-382</v>
      </c>
      <c r="Q20" s="8">
        <v>-774</v>
      </c>
    </row>
    <row r="21" spans="1:17" ht="15.6" x14ac:dyDescent="0.3">
      <c r="A21" s="11">
        <v>45066</v>
      </c>
      <c r="B21" s="15">
        <v>1008</v>
      </c>
      <c r="C21" s="18">
        <f t="shared" si="2"/>
        <v>1595.1428571428571</v>
      </c>
      <c r="D21" s="17">
        <f t="shared" si="1"/>
        <v>-587.14285714285711</v>
      </c>
      <c r="E21" t="str">
        <f t="shared" si="0"/>
        <v>Saturday</v>
      </c>
      <c r="J21" s="8" t="s">
        <v>14</v>
      </c>
      <c r="K21" s="8">
        <v>208</v>
      </c>
      <c r="L21" s="8">
        <v>659</v>
      </c>
      <c r="M21" s="8">
        <v>375</v>
      </c>
      <c r="N21" s="8">
        <v>246</v>
      </c>
      <c r="O21" s="8">
        <v>-278</v>
      </c>
      <c r="P21" s="8">
        <v>-568</v>
      </c>
      <c r="Q21" s="8">
        <v>-503</v>
      </c>
    </row>
    <row r="22" spans="1:17" ht="15.6" x14ac:dyDescent="0.3">
      <c r="A22" s="11">
        <v>45067</v>
      </c>
      <c r="B22" s="15">
        <v>1082</v>
      </c>
      <c r="C22" s="18">
        <f t="shared" si="2"/>
        <v>1618</v>
      </c>
      <c r="D22" s="17">
        <f t="shared" si="1"/>
        <v>-536</v>
      </c>
      <c r="E22" t="str">
        <f t="shared" si="0"/>
        <v>Sunday</v>
      </c>
      <c r="J22" s="8" t="s">
        <v>15</v>
      </c>
      <c r="K22" s="8">
        <v>329</v>
      </c>
      <c r="L22" s="8">
        <v>182</v>
      </c>
      <c r="M22" s="8">
        <v>324</v>
      </c>
      <c r="N22" s="8">
        <v>445</v>
      </c>
      <c r="O22" s="8">
        <v>-165</v>
      </c>
      <c r="P22" s="8">
        <v>-587</v>
      </c>
      <c r="Q22" s="8">
        <v>-536</v>
      </c>
    </row>
    <row r="23" spans="1:17" ht="15.6" x14ac:dyDescent="0.3">
      <c r="A23" s="11">
        <v>45068</v>
      </c>
      <c r="B23" s="15">
        <v>1921</v>
      </c>
      <c r="C23" s="18">
        <f t="shared" si="2"/>
        <v>1586.1428571428571</v>
      </c>
      <c r="D23" s="17">
        <f t="shared" si="1"/>
        <v>334.85714285714289</v>
      </c>
      <c r="E23" t="str">
        <f t="shared" si="0"/>
        <v>Monday</v>
      </c>
      <c r="J23" s="8" t="s">
        <v>16</v>
      </c>
      <c r="K23" s="8">
        <v>335</v>
      </c>
      <c r="L23" s="8">
        <v>144</v>
      </c>
      <c r="M23" s="8">
        <v>402</v>
      </c>
      <c r="N23" s="8">
        <v>144</v>
      </c>
      <c r="O23" s="8">
        <v>132</v>
      </c>
      <c r="P23" s="8">
        <v>-410</v>
      </c>
      <c r="Q23" s="8">
        <v>-538</v>
      </c>
    </row>
    <row r="24" spans="1:17" ht="15.6" x14ac:dyDescent="0.3">
      <c r="A24" s="11">
        <v>45069</v>
      </c>
      <c r="B24" s="15">
        <v>1780</v>
      </c>
      <c r="C24" s="18">
        <f t="shared" si="2"/>
        <v>1636.4285714285713</v>
      </c>
      <c r="D24" s="17">
        <f t="shared" si="1"/>
        <v>143.57142857142867</v>
      </c>
      <c r="E24" t="str">
        <f t="shared" si="0"/>
        <v>Tuesday</v>
      </c>
      <c r="J24" s="8" t="s">
        <v>17</v>
      </c>
      <c r="K24" s="8">
        <v>162</v>
      </c>
      <c r="L24" s="8">
        <v>181</v>
      </c>
      <c r="M24" s="8">
        <v>340</v>
      </c>
      <c r="N24" s="8">
        <v>235</v>
      </c>
      <c r="O24" s="8">
        <v>-135</v>
      </c>
      <c r="P24" s="8">
        <v>-907</v>
      </c>
      <c r="Q24" s="8">
        <v>-940</v>
      </c>
    </row>
    <row r="25" spans="1:17" ht="15.6" x14ac:dyDescent="0.3">
      <c r="A25" s="11">
        <v>45070</v>
      </c>
      <c r="B25" s="15">
        <v>2071</v>
      </c>
      <c r="C25" s="18">
        <f t="shared" si="2"/>
        <v>1669</v>
      </c>
      <c r="D25" s="17">
        <f t="shared" si="1"/>
        <v>402</v>
      </c>
      <c r="E25" t="str">
        <f t="shared" si="0"/>
        <v>Wednesday</v>
      </c>
      <c r="J25" s="8" t="s">
        <v>18</v>
      </c>
      <c r="K25" s="8">
        <v>755</v>
      </c>
      <c r="L25" s="8">
        <v>531</v>
      </c>
      <c r="M25" s="8">
        <v>720</v>
      </c>
      <c r="N25" s="8">
        <v>282</v>
      </c>
      <c r="O25" s="8">
        <v>-153</v>
      </c>
      <c r="P25" s="8">
        <v>-885</v>
      </c>
      <c r="Q25" s="8">
        <v>-617</v>
      </c>
    </row>
    <row r="26" spans="1:17" ht="15.6" x14ac:dyDescent="0.3">
      <c r="A26" s="11">
        <v>45071</v>
      </c>
      <c r="B26" s="15">
        <v>1813</v>
      </c>
      <c r="C26" s="18">
        <f t="shared" si="2"/>
        <v>1669</v>
      </c>
      <c r="D26" s="17">
        <f t="shared" si="1"/>
        <v>144</v>
      </c>
      <c r="E26" t="str">
        <f t="shared" si="0"/>
        <v>Thursday</v>
      </c>
      <c r="J26" s="8" t="s">
        <v>19</v>
      </c>
      <c r="K26" s="8">
        <v>630</v>
      </c>
      <c r="L26" s="8">
        <v>-49</v>
      </c>
      <c r="M26" s="8">
        <v>440</v>
      </c>
      <c r="N26" s="8">
        <v>781</v>
      </c>
      <c r="O26" s="8">
        <v>-212</v>
      </c>
      <c r="P26" s="8">
        <v>-661</v>
      </c>
      <c r="Q26" s="8">
        <v>-1047</v>
      </c>
    </row>
    <row r="27" spans="1:17" ht="15.6" x14ac:dyDescent="0.3">
      <c r="A27" s="11">
        <v>45072</v>
      </c>
      <c r="B27" s="15">
        <v>1780</v>
      </c>
      <c r="C27" s="18">
        <f t="shared" si="2"/>
        <v>1648.4285714285713</v>
      </c>
      <c r="D27" s="17">
        <f t="shared" si="1"/>
        <v>131.57142857142867</v>
      </c>
      <c r="E27" t="str">
        <f t="shared" si="0"/>
        <v>Friday</v>
      </c>
      <c r="J27" s="8" t="s">
        <v>20</v>
      </c>
      <c r="K27" s="8">
        <v>590</v>
      </c>
      <c r="L27" s="8">
        <v>209</v>
      </c>
      <c r="M27" s="8">
        <v>608</v>
      </c>
      <c r="N27" s="8">
        <v>-104</v>
      </c>
      <c r="O27" s="8">
        <v>588</v>
      </c>
      <c r="P27" s="8">
        <v>-704</v>
      </c>
      <c r="Q27" s="8">
        <v>-511</v>
      </c>
    </row>
    <row r="28" spans="1:17" ht="15.6" x14ac:dyDescent="0.3">
      <c r="A28" s="11">
        <v>45073</v>
      </c>
      <c r="B28" s="15">
        <v>1236</v>
      </c>
      <c r="C28" s="18">
        <f t="shared" si="2"/>
        <v>1646.4285714285713</v>
      </c>
      <c r="D28" s="17">
        <f t="shared" si="1"/>
        <v>-410.42857142857133</v>
      </c>
      <c r="E28" t="str">
        <f t="shared" si="0"/>
        <v>Saturday</v>
      </c>
      <c r="J28" s="8" t="s">
        <v>21</v>
      </c>
      <c r="K28" s="8">
        <f>MEDIAN(K20:K27)</f>
        <v>335</v>
      </c>
      <c r="L28" s="8">
        <f t="shared" ref="L28:Q28" si="3">MEDIAN(L20:L27)</f>
        <v>182</v>
      </c>
      <c r="M28" s="8">
        <f t="shared" si="3"/>
        <v>402</v>
      </c>
      <c r="N28" s="8">
        <f t="shared" si="3"/>
        <v>240.5</v>
      </c>
      <c r="O28" s="8">
        <f t="shared" si="3"/>
        <v>-144</v>
      </c>
      <c r="P28" s="8">
        <f t="shared" si="3"/>
        <v>-624</v>
      </c>
      <c r="Q28" s="8">
        <f t="shared" si="3"/>
        <v>-577.5</v>
      </c>
    </row>
    <row r="29" spans="1:17" ht="15.6" x14ac:dyDescent="0.3">
      <c r="A29" s="11">
        <v>45074</v>
      </c>
      <c r="B29" s="15">
        <v>1082</v>
      </c>
      <c r="C29" s="18">
        <f t="shared" si="2"/>
        <v>1619.7142857142858</v>
      </c>
      <c r="D29" s="17">
        <f t="shared" si="1"/>
        <v>-537.71428571428578</v>
      </c>
      <c r="E29" t="str">
        <f t="shared" si="0"/>
        <v>Sunday</v>
      </c>
    </row>
    <row r="30" spans="1:17" ht="15.6" x14ac:dyDescent="0.3">
      <c r="A30" s="11">
        <v>45075</v>
      </c>
      <c r="B30" s="15">
        <v>1777</v>
      </c>
      <c r="C30" s="18">
        <f t="shared" si="2"/>
        <v>1615</v>
      </c>
      <c r="D30" s="17">
        <f t="shared" si="1"/>
        <v>162</v>
      </c>
      <c r="E30" t="str">
        <f t="shared" si="0"/>
        <v>Monday</v>
      </c>
    </row>
    <row r="31" spans="1:17" ht="15.6" x14ac:dyDescent="0.3">
      <c r="A31" s="11">
        <v>45076</v>
      </c>
      <c r="B31" s="15">
        <v>1766</v>
      </c>
      <c r="C31" s="18">
        <f t="shared" si="2"/>
        <v>1585.2857142857142</v>
      </c>
      <c r="D31" s="17">
        <f t="shared" si="1"/>
        <v>180.71428571428578</v>
      </c>
      <c r="E31" t="str">
        <f t="shared" si="0"/>
        <v>Tuesday</v>
      </c>
    </row>
    <row r="32" spans="1:17" ht="15.6" x14ac:dyDescent="0.3">
      <c r="A32" s="11">
        <v>45077</v>
      </c>
      <c r="B32" s="15">
        <v>1884</v>
      </c>
      <c r="C32" s="18">
        <f t="shared" si="2"/>
        <v>1544.1428571428571</v>
      </c>
      <c r="D32" s="17">
        <f t="shared" si="1"/>
        <v>339.85714285714289</v>
      </c>
      <c r="E32" t="str">
        <f t="shared" si="0"/>
        <v>Wednesday</v>
      </c>
    </row>
    <row r="33" spans="1:5" ht="15.6" x14ac:dyDescent="0.3">
      <c r="A33" s="11">
        <v>45078</v>
      </c>
      <c r="B33" s="15">
        <v>1780</v>
      </c>
      <c r="C33" s="18">
        <f t="shared" si="2"/>
        <v>1544.5714285714287</v>
      </c>
      <c r="D33" s="17">
        <f t="shared" si="1"/>
        <v>235.42857142857133</v>
      </c>
      <c r="E33" t="str">
        <f t="shared" si="0"/>
        <v>Thursday</v>
      </c>
    </row>
    <row r="34" spans="1:5" ht="15.6" x14ac:dyDescent="0.3">
      <c r="A34" s="11">
        <v>45079</v>
      </c>
      <c r="B34" s="15">
        <v>1572</v>
      </c>
      <c r="C34" s="18">
        <f t="shared" si="2"/>
        <v>1707.4285714285713</v>
      </c>
      <c r="D34" s="17">
        <f t="shared" ref="D34:D57" si="4">B34-C34</f>
        <v>-135.42857142857133</v>
      </c>
      <c r="E34" t="str">
        <f t="shared" si="0"/>
        <v>Friday</v>
      </c>
    </row>
    <row r="35" spans="1:5" ht="15.6" x14ac:dyDescent="0.3">
      <c r="A35" s="11">
        <v>45080</v>
      </c>
      <c r="B35" s="15">
        <v>948</v>
      </c>
      <c r="C35" s="18">
        <f t="shared" si="2"/>
        <v>1855.2857142857142</v>
      </c>
      <c r="D35" s="17">
        <f t="shared" si="4"/>
        <v>-907.28571428571422</v>
      </c>
      <c r="E35" t="str">
        <f t="shared" si="0"/>
        <v>Saturday</v>
      </c>
    </row>
    <row r="36" spans="1:5" ht="15.6" x14ac:dyDescent="0.3">
      <c r="A36" s="11">
        <v>45081</v>
      </c>
      <c r="B36" s="15">
        <v>1085</v>
      </c>
      <c r="C36" s="18">
        <f t="shared" si="2"/>
        <v>2025.4285714285713</v>
      </c>
      <c r="D36" s="17">
        <f t="shared" si="4"/>
        <v>-940.42857142857133</v>
      </c>
      <c r="E36" t="str">
        <f t="shared" si="0"/>
        <v>Sunday</v>
      </c>
    </row>
    <row r="37" spans="1:5" ht="15.6" x14ac:dyDescent="0.3">
      <c r="A37" s="11">
        <v>45082</v>
      </c>
      <c r="B37" s="15">
        <v>2917</v>
      </c>
      <c r="C37" s="18">
        <f t="shared" si="2"/>
        <v>2162.1428571428573</v>
      </c>
      <c r="D37" s="17">
        <f t="shared" si="4"/>
        <v>754.85714285714266</v>
      </c>
      <c r="E37" t="str">
        <f t="shared" si="0"/>
        <v>Monday</v>
      </c>
    </row>
    <row r="38" spans="1:5" ht="15.6" x14ac:dyDescent="0.3">
      <c r="A38" s="11">
        <v>45083</v>
      </c>
      <c r="B38" s="15">
        <v>2801</v>
      </c>
      <c r="C38" s="18">
        <f t="shared" si="2"/>
        <v>2270.2857142857142</v>
      </c>
      <c r="D38" s="17">
        <f t="shared" si="4"/>
        <v>530.71428571428578</v>
      </c>
      <c r="E38" t="str">
        <f t="shared" si="0"/>
        <v>Tuesday</v>
      </c>
    </row>
    <row r="39" spans="1:5" ht="15.6" x14ac:dyDescent="0.3">
      <c r="A39" s="11">
        <v>45084</v>
      </c>
      <c r="B39" s="15">
        <v>3075</v>
      </c>
      <c r="C39" s="18">
        <f t="shared" si="2"/>
        <v>2354.8571428571427</v>
      </c>
      <c r="D39" s="17">
        <f t="shared" si="4"/>
        <v>720.14285714285734</v>
      </c>
      <c r="E39" t="str">
        <f t="shared" si="0"/>
        <v>Wednesday</v>
      </c>
    </row>
    <row r="40" spans="1:5" ht="15.6" x14ac:dyDescent="0.3">
      <c r="A40" s="11">
        <v>45085</v>
      </c>
      <c r="B40" s="15">
        <v>2737</v>
      </c>
      <c r="C40" s="18">
        <f t="shared" si="2"/>
        <v>2455.1428571428573</v>
      </c>
      <c r="D40" s="17">
        <f t="shared" si="4"/>
        <v>281.85714285714266</v>
      </c>
      <c r="E40" t="str">
        <f t="shared" si="0"/>
        <v>Thursday</v>
      </c>
    </row>
    <row r="41" spans="1:5" ht="15.6" x14ac:dyDescent="0.3">
      <c r="A41" s="11">
        <v>45086</v>
      </c>
      <c r="B41" s="15">
        <v>2329</v>
      </c>
      <c r="C41" s="18">
        <f t="shared" si="2"/>
        <v>2481.5714285714284</v>
      </c>
      <c r="D41" s="17">
        <f t="shared" si="4"/>
        <v>-152.57142857142844</v>
      </c>
      <c r="E41" t="str">
        <f t="shared" si="0"/>
        <v>Friday</v>
      </c>
    </row>
    <row r="42" spans="1:5" ht="15.6" x14ac:dyDescent="0.3">
      <c r="A42" s="11">
        <v>45087</v>
      </c>
      <c r="B42" s="15">
        <v>1540</v>
      </c>
      <c r="C42" s="18">
        <f t="shared" si="2"/>
        <v>2424.7142857142858</v>
      </c>
      <c r="D42" s="17">
        <f t="shared" si="4"/>
        <v>-884.71428571428578</v>
      </c>
      <c r="E42" t="str">
        <f t="shared" si="0"/>
        <v>Saturday</v>
      </c>
    </row>
    <row r="43" spans="1:5" ht="15.6" x14ac:dyDescent="0.3">
      <c r="A43" s="11">
        <v>45088</v>
      </c>
      <c r="B43" s="15">
        <v>1787</v>
      </c>
      <c r="C43" s="18">
        <f t="shared" si="2"/>
        <v>2403.5714285714284</v>
      </c>
      <c r="D43" s="17">
        <f t="shared" si="4"/>
        <v>-616.57142857142844</v>
      </c>
      <c r="E43" t="str">
        <f t="shared" si="0"/>
        <v>Sunday</v>
      </c>
    </row>
    <row r="44" spans="1:5" ht="15.6" x14ac:dyDescent="0.3">
      <c r="A44" s="11">
        <v>45089</v>
      </c>
      <c r="B44" s="15">
        <v>3102</v>
      </c>
      <c r="C44" s="18">
        <f t="shared" si="2"/>
        <v>2471.5714285714284</v>
      </c>
      <c r="D44" s="17">
        <f t="shared" si="4"/>
        <v>630.42857142857156</v>
      </c>
      <c r="E44" t="str">
        <f t="shared" si="0"/>
        <v>Monday</v>
      </c>
    </row>
    <row r="45" spans="1:5" ht="15.6" x14ac:dyDescent="0.3">
      <c r="A45" s="11">
        <v>45090</v>
      </c>
      <c r="B45" s="15">
        <v>2403</v>
      </c>
      <c r="C45" s="18">
        <f t="shared" si="2"/>
        <v>2452.2857142857142</v>
      </c>
      <c r="D45" s="17">
        <f t="shared" si="4"/>
        <v>-49.285714285714221</v>
      </c>
      <c r="E45" t="str">
        <f t="shared" si="0"/>
        <v>Tuesday</v>
      </c>
    </row>
    <row r="46" spans="1:5" ht="15.6" x14ac:dyDescent="0.3">
      <c r="A46" s="11">
        <v>45091</v>
      </c>
      <c r="B46" s="15">
        <v>2927</v>
      </c>
      <c r="C46" s="18">
        <f t="shared" si="2"/>
        <v>2486.5714285714284</v>
      </c>
      <c r="D46" s="17">
        <f t="shared" si="4"/>
        <v>440.42857142857156</v>
      </c>
      <c r="E46" t="str">
        <f t="shared" si="0"/>
        <v>Wednesday</v>
      </c>
    </row>
    <row r="47" spans="1:5" ht="15.6" x14ac:dyDescent="0.3">
      <c r="A47" s="11">
        <v>45092</v>
      </c>
      <c r="B47" s="15">
        <v>3213</v>
      </c>
      <c r="C47" s="18">
        <f t="shared" si="2"/>
        <v>2432.4285714285716</v>
      </c>
      <c r="D47" s="17">
        <f t="shared" si="4"/>
        <v>780.57142857142844</v>
      </c>
      <c r="E47" t="str">
        <f t="shared" si="0"/>
        <v>Thursday</v>
      </c>
    </row>
    <row r="48" spans="1:5" ht="15.6" x14ac:dyDescent="0.3">
      <c r="A48" s="11">
        <v>45093</v>
      </c>
      <c r="B48" s="15">
        <v>2194</v>
      </c>
      <c r="C48" s="18">
        <f t="shared" si="2"/>
        <v>2406.4285714285716</v>
      </c>
      <c r="D48" s="17">
        <f t="shared" si="4"/>
        <v>-212.42857142857156</v>
      </c>
      <c r="E48" t="str">
        <f t="shared" si="0"/>
        <v>Friday</v>
      </c>
    </row>
    <row r="49" spans="1:5" ht="15.6" x14ac:dyDescent="0.3">
      <c r="A49" s="11">
        <v>45094</v>
      </c>
      <c r="B49" s="15">
        <v>1780</v>
      </c>
      <c r="C49" s="18">
        <f t="shared" si="2"/>
        <v>2441.2857142857142</v>
      </c>
      <c r="D49" s="17">
        <f t="shared" si="4"/>
        <v>-661.28571428571422</v>
      </c>
      <c r="E49" t="str">
        <f t="shared" si="0"/>
        <v>Saturday</v>
      </c>
    </row>
    <row r="50" spans="1:5" ht="15.6" x14ac:dyDescent="0.3">
      <c r="A50" s="11">
        <v>45095</v>
      </c>
      <c r="B50" s="15">
        <v>1408</v>
      </c>
      <c r="C50" s="18">
        <f t="shared" si="2"/>
        <v>2454.5714285714284</v>
      </c>
      <c r="D50" s="17">
        <f t="shared" si="4"/>
        <v>-1046.5714285714284</v>
      </c>
      <c r="E50" t="str">
        <f t="shared" si="0"/>
        <v>Sunday</v>
      </c>
    </row>
    <row r="51" spans="1:5" ht="15.6" x14ac:dyDescent="0.3">
      <c r="A51" s="11">
        <v>45096</v>
      </c>
      <c r="B51" s="15">
        <v>2920</v>
      </c>
      <c r="C51" s="18">
        <f t="shared" si="2"/>
        <v>2329.5714285714284</v>
      </c>
      <c r="D51" s="17">
        <f t="shared" si="4"/>
        <v>590.42857142857156</v>
      </c>
      <c r="E51" t="str">
        <f t="shared" si="0"/>
        <v>Monday</v>
      </c>
    </row>
    <row r="52" spans="1:5" ht="15.6" x14ac:dyDescent="0.3">
      <c r="A52" s="11">
        <v>45097</v>
      </c>
      <c r="B52" s="15">
        <v>2647</v>
      </c>
      <c r="C52" s="18">
        <f t="shared" si="2"/>
        <v>2437.5714285714284</v>
      </c>
      <c r="D52" s="17">
        <f t="shared" si="4"/>
        <v>209.42857142857156</v>
      </c>
      <c r="E52" t="str">
        <f t="shared" si="0"/>
        <v>Tuesday</v>
      </c>
    </row>
    <row r="53" spans="1:5" ht="15.6" x14ac:dyDescent="0.3">
      <c r="A53" s="11">
        <v>45098</v>
      </c>
      <c r="B53" s="15">
        <v>3020</v>
      </c>
      <c r="C53" s="18">
        <f t="shared" si="2"/>
        <v>2412</v>
      </c>
      <c r="D53" s="17">
        <f t="shared" si="4"/>
        <v>608</v>
      </c>
      <c r="E53" t="str">
        <f t="shared" si="0"/>
        <v>Wednesday</v>
      </c>
    </row>
    <row r="54" spans="1:5" ht="15.6" x14ac:dyDescent="0.3">
      <c r="A54" s="11">
        <v>45099</v>
      </c>
      <c r="B54" s="15">
        <v>2338</v>
      </c>
      <c r="C54" s="18">
        <f t="shared" si="2"/>
        <v>2441.5714285714284</v>
      </c>
      <c r="D54" s="17">
        <f t="shared" si="4"/>
        <v>-103.57142857142844</v>
      </c>
      <c r="E54" t="str">
        <f t="shared" si="0"/>
        <v>Thursday</v>
      </c>
    </row>
    <row r="55" spans="1:5" ht="15.6" x14ac:dyDescent="0.3">
      <c r="A55" s="11">
        <v>45100</v>
      </c>
      <c r="B55" s="15">
        <v>2950</v>
      </c>
      <c r="C55" s="18">
        <f t="shared" si="2"/>
        <v>2361.8333333333335</v>
      </c>
      <c r="D55" s="17">
        <f t="shared" si="4"/>
        <v>588.16666666666652</v>
      </c>
      <c r="E55" t="str">
        <f t="shared" si="0"/>
        <v>Friday</v>
      </c>
    </row>
    <row r="56" spans="1:5" ht="15.6" x14ac:dyDescent="0.3">
      <c r="A56" s="11">
        <v>45101</v>
      </c>
      <c r="B56" s="15">
        <v>1601</v>
      </c>
      <c r="C56" s="18">
        <f t="shared" si="2"/>
        <v>2304.8000000000002</v>
      </c>
      <c r="D56" s="17">
        <f t="shared" si="4"/>
        <v>-703.80000000000018</v>
      </c>
      <c r="E56" t="str">
        <f t="shared" si="0"/>
        <v>Saturday</v>
      </c>
    </row>
    <row r="57" spans="1:5" ht="15.6" x14ac:dyDescent="0.3">
      <c r="A57" s="12">
        <v>45102</v>
      </c>
      <c r="B57" s="16">
        <v>1615</v>
      </c>
      <c r="C57" s="18">
        <f t="shared" si="2"/>
        <v>2126</v>
      </c>
      <c r="D57" s="17">
        <f t="shared" si="4"/>
        <v>-511</v>
      </c>
      <c r="E57" t="str">
        <f t="shared" si="0"/>
        <v>Sunday</v>
      </c>
    </row>
  </sheetData>
  <phoneticPr fontId="5" type="noConversion"/>
  <pageMargins left="0.7" right="0.7" top="0.75" bottom="0.75" header="0.3" footer="0.3"/>
  <ignoredErrors>
    <ignoredError sqref="C5" formulaRange="1"/>
  </ignoredErrors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77D63-53FE-481F-9054-C197D10BF6B4}">
  <sheetPr codeName="Sheet3"/>
  <dimension ref="A1:X68"/>
  <sheetViews>
    <sheetView workbookViewId="0">
      <pane xSplit="1" topLeftCell="B1" activePane="topRight" state="frozen"/>
      <selection activeCell="A27" sqref="A27"/>
      <selection pane="topRight" activeCell="L67" sqref="L67"/>
    </sheetView>
  </sheetViews>
  <sheetFormatPr defaultColWidth="13.21875" defaultRowHeight="14.4" x14ac:dyDescent="0.3"/>
  <cols>
    <col min="1" max="1" width="13.109375" style="20" bestFit="1" customWidth="1"/>
    <col min="2" max="2" width="10.109375" style="17" bestFit="1" customWidth="1"/>
    <col min="3" max="3" width="10.6640625" customWidth="1"/>
    <col min="4" max="4" width="8.33203125" customWidth="1"/>
    <col min="5" max="5" width="9.5546875" customWidth="1"/>
    <col min="6" max="6" width="16.33203125" customWidth="1"/>
    <col min="7" max="7" width="15.109375" customWidth="1"/>
    <col min="8" max="8" width="16.88671875" customWidth="1"/>
    <col min="9" max="9" width="15.21875" customWidth="1"/>
    <col min="10" max="10" width="27.77734375" bestFit="1" customWidth="1"/>
    <col min="11" max="11" width="27.21875" bestFit="1" customWidth="1"/>
    <col min="12" max="12" width="35.44140625" bestFit="1" customWidth="1"/>
    <col min="13" max="13" width="32.44140625" bestFit="1" customWidth="1"/>
    <col min="14" max="14" width="40.21875" bestFit="1" customWidth="1"/>
    <col min="15" max="15" width="39.6640625" bestFit="1" customWidth="1"/>
    <col min="18" max="18" width="2" bestFit="1" customWidth="1"/>
    <col min="19" max="19" width="10.44140625" bestFit="1" customWidth="1"/>
    <col min="20" max="20" width="12" bestFit="1" customWidth="1"/>
  </cols>
  <sheetData>
    <row r="1" spans="1:24" ht="15.6" x14ac:dyDescent="0.3">
      <c r="A1" s="27" t="s">
        <v>1</v>
      </c>
      <c r="B1" s="28" t="s">
        <v>2</v>
      </c>
      <c r="C1" s="29" t="s">
        <v>28</v>
      </c>
      <c r="D1" s="29" t="s">
        <v>22</v>
      </c>
      <c r="E1" s="29" t="s">
        <v>23</v>
      </c>
      <c r="F1" s="29" t="s">
        <v>30</v>
      </c>
      <c r="G1" s="29" t="s">
        <v>31</v>
      </c>
      <c r="H1" s="29" t="s">
        <v>24</v>
      </c>
      <c r="I1" s="29" t="s">
        <v>25</v>
      </c>
      <c r="J1" s="29" t="s">
        <v>32</v>
      </c>
      <c r="K1" s="29" t="s">
        <v>33</v>
      </c>
      <c r="L1" s="29" t="s">
        <v>26</v>
      </c>
      <c r="M1" s="29" t="s">
        <v>27</v>
      </c>
      <c r="N1" s="29" t="s">
        <v>34</v>
      </c>
      <c r="O1" s="29" t="s">
        <v>35</v>
      </c>
      <c r="R1" s="49" t="s">
        <v>29</v>
      </c>
      <c r="S1" s="50"/>
      <c r="T1" s="51"/>
    </row>
    <row r="2" spans="1:24" ht="15.6" x14ac:dyDescent="0.3">
      <c r="A2" s="19">
        <v>45047</v>
      </c>
      <c r="B2" s="21">
        <v>1576</v>
      </c>
      <c r="C2" s="8">
        <f>WEEKDAY(A2, 1)</f>
        <v>2</v>
      </c>
      <c r="D2" s="8"/>
      <c r="E2" s="22">
        <f>B2-D2</f>
        <v>1576</v>
      </c>
      <c r="F2" s="8">
        <f>ABS(E2)</f>
        <v>1576</v>
      </c>
      <c r="G2" s="22">
        <f>(E2)^2</f>
        <v>2483776</v>
      </c>
      <c r="H2" s="8">
        <f t="shared" ref="H2:H33" si="0">VLOOKUP(C2, $R$2:$T$8, 3, FALSE)</f>
        <v>2154.2857142857142</v>
      </c>
      <c r="I2" s="22">
        <f t="shared" ref="I2:I33" si="1">B2-H2</f>
        <v>-578.28571428571422</v>
      </c>
      <c r="J2" s="8">
        <f>ABS(I2)</f>
        <v>578.28571428571422</v>
      </c>
      <c r="K2" s="23">
        <f>(I2)^2</f>
        <v>334414.3673469387</v>
      </c>
      <c r="L2" s="8">
        <f t="shared" ref="L2:L33" si="2">_xlfn.FORECAST.ETS(A2, $B$2:$B$50, $A$2:$A$50, 7, 1, 1)</f>
        <v>1637.1712242538815</v>
      </c>
      <c r="M2" s="22">
        <f t="shared" ref="M2:M33" si="3">B2-L2</f>
        <v>-61.171224253881519</v>
      </c>
      <c r="N2" s="8">
        <f>ABS(M2)</f>
        <v>61.171224253881519</v>
      </c>
      <c r="O2" s="24">
        <f>(M2)^2</f>
        <v>3741.9186767186625</v>
      </c>
      <c r="R2" s="8">
        <v>1</v>
      </c>
      <c r="S2" s="8" t="s">
        <v>10</v>
      </c>
      <c r="T2" s="8">
        <f>AVERAGEIF($C$2:$C$50, R2, $B$2:$B$50)</f>
        <v>1194.2857142857142</v>
      </c>
    </row>
    <row r="3" spans="1:24" ht="15.6" x14ac:dyDescent="0.3">
      <c r="A3" s="19">
        <v>45048</v>
      </c>
      <c r="B3" s="21">
        <v>2299</v>
      </c>
      <c r="C3" s="8">
        <f t="shared" ref="C3:C57" si="4">WEEKDAY(A3, 1)</f>
        <v>3</v>
      </c>
      <c r="D3" s="8"/>
      <c r="E3" s="22">
        <f t="shared" ref="E3:E57" si="5">B3-D3</f>
        <v>2299</v>
      </c>
      <c r="F3" s="8">
        <f t="shared" ref="F3:F57" si="6">ABS(E3)</f>
        <v>2299</v>
      </c>
      <c r="G3" s="22">
        <f t="shared" ref="G3:G57" si="7">(E3)^2</f>
        <v>5285401</v>
      </c>
      <c r="H3" s="8">
        <f t="shared" si="0"/>
        <v>2160.2857142857142</v>
      </c>
      <c r="I3" s="22">
        <f t="shared" si="1"/>
        <v>138.71428571428578</v>
      </c>
      <c r="J3" s="8">
        <f t="shared" ref="J3:J57" si="8">ABS(I3)</f>
        <v>138.71428571428578</v>
      </c>
      <c r="K3" s="23">
        <f t="shared" ref="K3:K57" si="9">(I3)^2</f>
        <v>19241.653061224508</v>
      </c>
      <c r="L3" s="8">
        <f t="shared" si="2"/>
        <v>1610.6805045020192</v>
      </c>
      <c r="M3" s="22">
        <f t="shared" si="3"/>
        <v>688.31949549798082</v>
      </c>
      <c r="N3" s="8">
        <f t="shared" ref="N3:N57" si="10">ABS(M3)</f>
        <v>688.31949549798082</v>
      </c>
      <c r="O3" s="24">
        <f t="shared" ref="O3:O57" si="11">(M3)^2</f>
        <v>473783.72788259486</v>
      </c>
      <c r="R3" s="8">
        <v>2</v>
      </c>
      <c r="S3" s="8" t="s">
        <v>4</v>
      </c>
      <c r="T3" s="8">
        <f t="shared" ref="T3:T8" si="12">AVERAGEIF($C$2:$C$50, R3, $B$2:$B$50)</f>
        <v>2154.2857142857142</v>
      </c>
    </row>
    <row r="4" spans="1:24" ht="15.6" x14ac:dyDescent="0.3">
      <c r="A4" s="19">
        <v>45049</v>
      </c>
      <c r="B4" s="21">
        <v>1878</v>
      </c>
      <c r="C4" s="8">
        <f t="shared" si="4"/>
        <v>4</v>
      </c>
      <c r="D4" s="8"/>
      <c r="E4" s="22">
        <f t="shared" si="5"/>
        <v>1878</v>
      </c>
      <c r="F4" s="8">
        <f t="shared" si="6"/>
        <v>1878</v>
      </c>
      <c r="G4" s="22">
        <f t="shared" si="7"/>
        <v>3526884</v>
      </c>
      <c r="H4" s="8">
        <f t="shared" si="0"/>
        <v>2247.7142857142858</v>
      </c>
      <c r="I4" s="22">
        <f t="shared" si="1"/>
        <v>-369.71428571428578</v>
      </c>
      <c r="J4" s="8">
        <f t="shared" si="8"/>
        <v>369.71428571428578</v>
      </c>
      <c r="K4" s="23">
        <f t="shared" si="9"/>
        <v>136688.65306122453</v>
      </c>
      <c r="L4" s="8">
        <f t="shared" si="2"/>
        <v>1705.4401741532283</v>
      </c>
      <c r="M4" s="22">
        <f t="shared" si="3"/>
        <v>172.55982584677167</v>
      </c>
      <c r="N4" s="8">
        <f t="shared" si="10"/>
        <v>172.55982584677167</v>
      </c>
      <c r="O4" s="24">
        <f t="shared" si="11"/>
        <v>29776.893496268171</v>
      </c>
      <c r="R4" s="8">
        <v>3</v>
      </c>
      <c r="S4" s="8" t="s">
        <v>5</v>
      </c>
      <c r="T4" s="8">
        <f t="shared" si="12"/>
        <v>2160.2857142857142</v>
      </c>
    </row>
    <row r="5" spans="1:24" ht="15.6" x14ac:dyDescent="0.3">
      <c r="A5" s="19">
        <v>45050</v>
      </c>
      <c r="B5" s="21">
        <v>1628</v>
      </c>
      <c r="C5" s="8">
        <f t="shared" si="4"/>
        <v>5</v>
      </c>
      <c r="D5" s="8"/>
      <c r="E5" s="22">
        <f t="shared" si="5"/>
        <v>1628</v>
      </c>
      <c r="F5" s="8">
        <f t="shared" si="6"/>
        <v>1628</v>
      </c>
      <c r="G5" s="22">
        <f t="shared" si="7"/>
        <v>2650384</v>
      </c>
      <c r="H5" s="8">
        <f t="shared" si="0"/>
        <v>2156.1428571428573</v>
      </c>
      <c r="I5" s="22">
        <f t="shared" si="1"/>
        <v>-528.14285714285734</v>
      </c>
      <c r="J5" s="8">
        <f t="shared" si="8"/>
        <v>528.14285714285734</v>
      </c>
      <c r="K5" s="23">
        <f t="shared" si="9"/>
        <v>278934.87755102059</v>
      </c>
      <c r="L5" s="8">
        <f t="shared" si="2"/>
        <v>1638.5683666488162</v>
      </c>
      <c r="M5" s="22">
        <f t="shared" si="3"/>
        <v>-10.568366648816209</v>
      </c>
      <c r="N5" s="8">
        <f t="shared" si="10"/>
        <v>10.568366648816209</v>
      </c>
      <c r="O5" s="24">
        <f t="shared" si="11"/>
        <v>111.69037362381074</v>
      </c>
      <c r="R5" s="8">
        <v>4</v>
      </c>
      <c r="S5" s="8" t="s">
        <v>6</v>
      </c>
      <c r="T5" s="8">
        <f t="shared" si="12"/>
        <v>2247.7142857142858</v>
      </c>
    </row>
    <row r="6" spans="1:24" ht="15.6" x14ac:dyDescent="0.3">
      <c r="A6" s="19">
        <v>45051</v>
      </c>
      <c r="B6" s="21">
        <v>1555</v>
      </c>
      <c r="C6" s="8">
        <f t="shared" si="4"/>
        <v>6</v>
      </c>
      <c r="D6" s="8"/>
      <c r="E6" s="22">
        <f t="shared" si="5"/>
        <v>1555</v>
      </c>
      <c r="F6" s="8">
        <f t="shared" si="6"/>
        <v>1555</v>
      </c>
      <c r="G6" s="22">
        <f t="shared" si="7"/>
        <v>2418025</v>
      </c>
      <c r="H6" s="8">
        <f t="shared" si="0"/>
        <v>1746.1428571428571</v>
      </c>
      <c r="I6" s="22">
        <f t="shared" si="1"/>
        <v>-191.14285714285711</v>
      </c>
      <c r="J6" s="8">
        <f t="shared" si="8"/>
        <v>191.14285714285711</v>
      </c>
      <c r="K6" s="23">
        <f t="shared" si="9"/>
        <v>36535.591836734682</v>
      </c>
      <c r="L6" s="8">
        <f t="shared" si="2"/>
        <v>1223.5646784618482</v>
      </c>
      <c r="M6" s="22">
        <f t="shared" si="3"/>
        <v>331.43532153815181</v>
      </c>
      <c r="N6" s="8">
        <f t="shared" si="10"/>
        <v>331.43532153815181</v>
      </c>
      <c r="O6" s="24">
        <f t="shared" si="11"/>
        <v>109849.37236309808</v>
      </c>
      <c r="R6" s="8">
        <v>5</v>
      </c>
      <c r="S6" s="8" t="s">
        <v>7</v>
      </c>
      <c r="T6" s="8">
        <f t="shared" si="12"/>
        <v>2156.1428571428573</v>
      </c>
    </row>
    <row r="7" spans="1:24" ht="15.6" x14ac:dyDescent="0.3">
      <c r="A7" s="19">
        <v>45052</v>
      </c>
      <c r="B7" s="21">
        <v>1240</v>
      </c>
      <c r="C7" s="8">
        <f t="shared" si="4"/>
        <v>7</v>
      </c>
      <c r="D7" s="8"/>
      <c r="E7" s="22">
        <f t="shared" si="5"/>
        <v>1240</v>
      </c>
      <c r="F7" s="8">
        <f t="shared" si="6"/>
        <v>1240</v>
      </c>
      <c r="G7" s="22">
        <f t="shared" si="7"/>
        <v>1537600</v>
      </c>
      <c r="H7" s="8">
        <f t="shared" si="0"/>
        <v>1250</v>
      </c>
      <c r="I7" s="22">
        <f t="shared" si="1"/>
        <v>-10</v>
      </c>
      <c r="J7" s="8">
        <f t="shared" si="8"/>
        <v>10</v>
      </c>
      <c r="K7" s="23">
        <f t="shared" si="9"/>
        <v>100</v>
      </c>
      <c r="L7" s="8">
        <f t="shared" si="2"/>
        <v>772.45544214414224</v>
      </c>
      <c r="M7" s="22">
        <f t="shared" si="3"/>
        <v>467.54455785585776</v>
      </c>
      <c r="N7" s="8">
        <f t="shared" si="10"/>
        <v>467.54455785585776</v>
      </c>
      <c r="O7" s="24">
        <f t="shared" si="11"/>
        <v>218597.91358062954</v>
      </c>
      <c r="R7" s="8">
        <v>6</v>
      </c>
      <c r="S7" s="8" t="s">
        <v>8</v>
      </c>
      <c r="T7" s="8">
        <f t="shared" si="12"/>
        <v>1746.1428571428571</v>
      </c>
    </row>
    <row r="8" spans="1:24" ht="15.6" x14ac:dyDescent="0.3">
      <c r="A8" s="19">
        <v>45053</v>
      </c>
      <c r="B8" s="21">
        <v>864</v>
      </c>
      <c r="C8" s="8">
        <f t="shared" si="4"/>
        <v>1</v>
      </c>
      <c r="D8" s="8"/>
      <c r="E8" s="22">
        <f t="shared" si="5"/>
        <v>864</v>
      </c>
      <c r="F8" s="8">
        <f t="shared" si="6"/>
        <v>864</v>
      </c>
      <c r="G8" s="22">
        <f t="shared" si="7"/>
        <v>746496</v>
      </c>
      <c r="H8" s="8">
        <f t="shared" si="0"/>
        <v>1194.2857142857142</v>
      </c>
      <c r="I8" s="22">
        <f t="shared" si="1"/>
        <v>-330.28571428571422</v>
      </c>
      <c r="J8" s="8">
        <f t="shared" si="8"/>
        <v>330.28571428571422</v>
      </c>
      <c r="K8" s="23">
        <f t="shared" si="9"/>
        <v>109088.65306122445</v>
      </c>
      <c r="L8" s="8">
        <f t="shared" si="2"/>
        <v>717.25812727338041</v>
      </c>
      <c r="M8" s="22">
        <f t="shared" si="3"/>
        <v>146.74187272661959</v>
      </c>
      <c r="N8" s="8">
        <f t="shared" si="10"/>
        <v>146.74187272661959</v>
      </c>
      <c r="O8" s="24">
        <f t="shared" si="11"/>
        <v>21533.177211315422</v>
      </c>
      <c r="R8" s="8">
        <v>7</v>
      </c>
      <c r="S8" s="8" t="s">
        <v>9</v>
      </c>
      <c r="T8" s="8">
        <f t="shared" si="12"/>
        <v>1250</v>
      </c>
    </row>
    <row r="9" spans="1:24" ht="15.6" x14ac:dyDescent="0.3">
      <c r="A9" s="19">
        <v>45054</v>
      </c>
      <c r="B9" s="21">
        <v>1882</v>
      </c>
      <c r="C9" s="8">
        <f t="shared" si="4"/>
        <v>2</v>
      </c>
      <c r="D9" s="25">
        <f>B2</f>
        <v>1576</v>
      </c>
      <c r="E9" s="22">
        <f t="shared" si="5"/>
        <v>306</v>
      </c>
      <c r="F9" s="8">
        <f t="shared" si="6"/>
        <v>306</v>
      </c>
      <c r="G9" s="22">
        <f t="shared" si="7"/>
        <v>93636</v>
      </c>
      <c r="H9" s="8">
        <f t="shared" si="0"/>
        <v>2154.2857142857142</v>
      </c>
      <c r="I9" s="22">
        <f t="shared" si="1"/>
        <v>-272.28571428571422</v>
      </c>
      <c r="J9" s="8">
        <f t="shared" si="8"/>
        <v>272.28571428571422</v>
      </c>
      <c r="K9" s="23">
        <f t="shared" si="9"/>
        <v>74139.510204081598</v>
      </c>
      <c r="L9" s="8">
        <f t="shared" si="2"/>
        <v>1793.8320561372889</v>
      </c>
      <c r="M9" s="22">
        <f t="shared" si="3"/>
        <v>88.167943862711127</v>
      </c>
      <c r="N9" s="8">
        <f t="shared" si="10"/>
        <v>88.167943862711127</v>
      </c>
      <c r="O9" s="24">
        <f t="shared" si="11"/>
        <v>7773.5863249781805</v>
      </c>
    </row>
    <row r="10" spans="1:24" ht="15.6" x14ac:dyDescent="0.3">
      <c r="A10" s="19">
        <v>45055</v>
      </c>
      <c r="B10" s="21">
        <v>2306</v>
      </c>
      <c r="C10" s="8">
        <f t="shared" si="4"/>
        <v>3</v>
      </c>
      <c r="D10" s="25">
        <f t="shared" ref="D10:D50" si="13">B3</f>
        <v>2299</v>
      </c>
      <c r="E10" s="22">
        <f t="shared" si="5"/>
        <v>7</v>
      </c>
      <c r="F10" s="8">
        <f t="shared" si="6"/>
        <v>7</v>
      </c>
      <c r="G10" s="22">
        <f t="shared" si="7"/>
        <v>49</v>
      </c>
      <c r="H10" s="8">
        <f t="shared" si="0"/>
        <v>2160.2857142857142</v>
      </c>
      <c r="I10" s="22">
        <f t="shared" si="1"/>
        <v>145.71428571428578</v>
      </c>
      <c r="J10" s="8">
        <f t="shared" si="8"/>
        <v>145.71428571428578</v>
      </c>
      <c r="K10" s="23">
        <f t="shared" si="9"/>
        <v>21232.653061224508</v>
      </c>
      <c r="L10" s="8">
        <f t="shared" si="2"/>
        <v>1767.3413363854261</v>
      </c>
      <c r="M10" s="22">
        <f t="shared" si="3"/>
        <v>538.65866361457392</v>
      </c>
      <c r="N10" s="8">
        <f t="shared" si="10"/>
        <v>538.65866361457392</v>
      </c>
      <c r="O10" s="24">
        <f t="shared" si="11"/>
        <v>290153.15588703868</v>
      </c>
    </row>
    <row r="11" spans="1:24" ht="15.6" x14ac:dyDescent="0.3">
      <c r="A11" s="19">
        <v>45056</v>
      </c>
      <c r="B11" s="21">
        <v>1988</v>
      </c>
      <c r="C11" s="8">
        <f t="shared" si="4"/>
        <v>4</v>
      </c>
      <c r="D11" s="25">
        <f t="shared" si="13"/>
        <v>1878</v>
      </c>
      <c r="E11" s="22">
        <f t="shared" si="5"/>
        <v>110</v>
      </c>
      <c r="F11" s="8">
        <f t="shared" si="6"/>
        <v>110</v>
      </c>
      <c r="G11" s="22">
        <f t="shared" si="7"/>
        <v>12100</v>
      </c>
      <c r="H11" s="8">
        <f t="shared" si="0"/>
        <v>2247.7142857142858</v>
      </c>
      <c r="I11" s="22">
        <f t="shared" si="1"/>
        <v>-259.71428571428578</v>
      </c>
      <c r="J11" s="8">
        <f t="shared" si="8"/>
        <v>259.71428571428578</v>
      </c>
      <c r="K11" s="23">
        <f t="shared" si="9"/>
        <v>67451.510204081671</v>
      </c>
      <c r="L11" s="8">
        <f t="shared" si="2"/>
        <v>1862.1010060366357</v>
      </c>
      <c r="M11" s="22">
        <f t="shared" si="3"/>
        <v>125.89899396336432</v>
      </c>
      <c r="N11" s="8">
        <f t="shared" si="10"/>
        <v>125.89899396336432</v>
      </c>
      <c r="O11" s="24">
        <f t="shared" si="11"/>
        <v>15850.556680987245</v>
      </c>
      <c r="R11" s="34"/>
      <c r="S11" s="34"/>
      <c r="T11" s="34"/>
      <c r="U11" s="34"/>
      <c r="V11" s="34"/>
      <c r="W11" s="34"/>
      <c r="X11" s="35"/>
    </row>
    <row r="12" spans="1:24" ht="15.6" x14ac:dyDescent="0.3">
      <c r="A12" s="19">
        <v>45057</v>
      </c>
      <c r="B12" s="21">
        <v>1886</v>
      </c>
      <c r="C12" s="8">
        <f t="shared" si="4"/>
        <v>5</v>
      </c>
      <c r="D12" s="25">
        <f t="shared" si="13"/>
        <v>1628</v>
      </c>
      <c r="E12" s="22">
        <f t="shared" si="5"/>
        <v>258</v>
      </c>
      <c r="F12" s="8">
        <f t="shared" si="6"/>
        <v>258</v>
      </c>
      <c r="G12" s="22">
        <f t="shared" si="7"/>
        <v>66564</v>
      </c>
      <c r="H12" s="8">
        <f t="shared" si="0"/>
        <v>2156.1428571428573</v>
      </c>
      <c r="I12" s="22">
        <f t="shared" si="1"/>
        <v>-270.14285714285734</v>
      </c>
      <c r="J12" s="8">
        <f t="shared" si="8"/>
        <v>270.14285714285734</v>
      </c>
      <c r="K12" s="23">
        <f t="shared" si="9"/>
        <v>72977.163265306226</v>
      </c>
      <c r="L12" s="8">
        <f t="shared" si="2"/>
        <v>1795.2291985322233</v>
      </c>
      <c r="M12" s="22">
        <f t="shared" si="3"/>
        <v>90.770801467776664</v>
      </c>
      <c r="N12" s="8">
        <f t="shared" si="10"/>
        <v>90.770801467776664</v>
      </c>
      <c r="O12" s="24">
        <f t="shared" si="11"/>
        <v>8239.3383991025257</v>
      </c>
      <c r="R12" s="34"/>
      <c r="S12" s="36"/>
      <c r="T12" s="36"/>
      <c r="U12" s="36"/>
      <c r="V12" s="36"/>
      <c r="W12" s="36"/>
      <c r="X12" s="36"/>
    </row>
    <row r="13" spans="1:24" ht="15.6" x14ac:dyDescent="0.3">
      <c r="A13" s="19">
        <v>45058</v>
      </c>
      <c r="B13" s="21">
        <v>1365</v>
      </c>
      <c r="C13" s="8">
        <f t="shared" si="4"/>
        <v>6</v>
      </c>
      <c r="D13" s="25">
        <f t="shared" si="13"/>
        <v>1555</v>
      </c>
      <c r="E13" s="22">
        <f t="shared" si="5"/>
        <v>-190</v>
      </c>
      <c r="F13" s="8">
        <f t="shared" si="6"/>
        <v>190</v>
      </c>
      <c r="G13" s="22">
        <f t="shared" si="7"/>
        <v>36100</v>
      </c>
      <c r="H13" s="8">
        <f t="shared" si="0"/>
        <v>1746.1428571428571</v>
      </c>
      <c r="I13" s="22">
        <f t="shared" si="1"/>
        <v>-381.14285714285711</v>
      </c>
      <c r="J13" s="8">
        <f t="shared" si="8"/>
        <v>381.14285714285711</v>
      </c>
      <c r="K13" s="23">
        <f t="shared" si="9"/>
        <v>145269.87755102038</v>
      </c>
      <c r="L13" s="8">
        <f t="shared" si="2"/>
        <v>1380.2255103452555</v>
      </c>
      <c r="M13" s="22">
        <f t="shared" si="3"/>
        <v>-15.225510345255543</v>
      </c>
      <c r="N13" s="8">
        <f t="shared" si="10"/>
        <v>15.225510345255543</v>
      </c>
      <c r="O13" s="24">
        <f t="shared" si="11"/>
        <v>231.81616527348356</v>
      </c>
      <c r="R13" s="34"/>
      <c r="S13" s="34"/>
      <c r="T13" s="34"/>
      <c r="U13" s="34"/>
      <c r="V13" s="34"/>
      <c r="W13" s="34"/>
      <c r="X13" s="34"/>
    </row>
    <row r="14" spans="1:24" ht="15.6" x14ac:dyDescent="0.3">
      <c r="A14" s="19">
        <v>45059</v>
      </c>
      <c r="B14" s="21">
        <v>998</v>
      </c>
      <c r="C14" s="8">
        <f t="shared" si="4"/>
        <v>7</v>
      </c>
      <c r="D14" s="25">
        <f t="shared" si="13"/>
        <v>1240</v>
      </c>
      <c r="E14" s="22">
        <f t="shared" si="5"/>
        <v>-242</v>
      </c>
      <c r="F14" s="8">
        <f t="shared" si="6"/>
        <v>242</v>
      </c>
      <c r="G14" s="22">
        <f t="shared" si="7"/>
        <v>58564</v>
      </c>
      <c r="H14" s="8">
        <f t="shared" si="0"/>
        <v>1250</v>
      </c>
      <c r="I14" s="22">
        <f t="shared" si="1"/>
        <v>-252</v>
      </c>
      <c r="J14" s="8">
        <f t="shared" si="8"/>
        <v>252</v>
      </c>
      <c r="K14" s="23">
        <f t="shared" si="9"/>
        <v>63504</v>
      </c>
      <c r="L14" s="8">
        <f t="shared" si="2"/>
        <v>929.11627402754959</v>
      </c>
      <c r="M14" s="22">
        <f t="shared" si="3"/>
        <v>68.883725972450407</v>
      </c>
      <c r="N14" s="8">
        <f t="shared" si="10"/>
        <v>68.883725972450407</v>
      </c>
      <c r="O14" s="24">
        <f t="shared" si="11"/>
        <v>4744.9677038476384</v>
      </c>
      <c r="R14" s="34"/>
      <c r="S14" s="34"/>
      <c r="T14" s="34"/>
      <c r="U14" s="34"/>
      <c r="V14" s="34"/>
      <c r="W14" s="34"/>
      <c r="X14" s="34"/>
    </row>
    <row r="15" spans="1:24" ht="15.6" x14ac:dyDescent="0.3">
      <c r="A15" s="19">
        <v>45060</v>
      </c>
      <c r="B15" s="21">
        <v>1052</v>
      </c>
      <c r="C15" s="8">
        <f t="shared" si="4"/>
        <v>1</v>
      </c>
      <c r="D15" s="25">
        <f t="shared" si="13"/>
        <v>864</v>
      </c>
      <c r="E15" s="22">
        <f t="shared" si="5"/>
        <v>188</v>
      </c>
      <c r="F15" s="8">
        <f t="shared" si="6"/>
        <v>188</v>
      </c>
      <c r="G15" s="22">
        <f t="shared" si="7"/>
        <v>35344</v>
      </c>
      <c r="H15" s="8">
        <f t="shared" si="0"/>
        <v>1194.2857142857142</v>
      </c>
      <c r="I15" s="22">
        <f t="shared" si="1"/>
        <v>-142.28571428571422</v>
      </c>
      <c r="J15" s="8">
        <f t="shared" si="8"/>
        <v>142.28571428571422</v>
      </c>
      <c r="K15" s="23">
        <f t="shared" si="9"/>
        <v>20245.224489795899</v>
      </c>
      <c r="L15" s="8">
        <f t="shared" si="2"/>
        <v>873.91895915678754</v>
      </c>
      <c r="M15" s="22">
        <f t="shared" si="3"/>
        <v>178.08104084321246</v>
      </c>
      <c r="N15" s="8">
        <f t="shared" si="10"/>
        <v>178.08104084321246</v>
      </c>
      <c r="O15" s="24">
        <f t="shared" si="11"/>
        <v>31712.857107801905</v>
      </c>
    </row>
    <row r="16" spans="1:24" ht="15.6" x14ac:dyDescent="0.3">
      <c r="A16" s="19">
        <v>45061</v>
      </c>
      <c r="B16" s="21">
        <v>1905</v>
      </c>
      <c r="C16" s="8">
        <f t="shared" si="4"/>
        <v>2</v>
      </c>
      <c r="D16" s="25">
        <f t="shared" si="13"/>
        <v>1882</v>
      </c>
      <c r="E16" s="22">
        <f t="shared" si="5"/>
        <v>23</v>
      </c>
      <c r="F16" s="8">
        <f t="shared" si="6"/>
        <v>23</v>
      </c>
      <c r="G16" s="22">
        <f t="shared" si="7"/>
        <v>529</v>
      </c>
      <c r="H16" s="8">
        <f t="shared" si="0"/>
        <v>2154.2857142857142</v>
      </c>
      <c r="I16" s="22">
        <f t="shared" si="1"/>
        <v>-249.28571428571422</v>
      </c>
      <c r="J16" s="8">
        <f t="shared" si="8"/>
        <v>249.28571428571422</v>
      </c>
      <c r="K16" s="23">
        <f t="shared" si="9"/>
        <v>62143.367346938743</v>
      </c>
      <c r="L16" s="8">
        <f t="shared" si="2"/>
        <v>1950.492888020696</v>
      </c>
      <c r="M16" s="22">
        <f t="shared" si="3"/>
        <v>-45.492888020696</v>
      </c>
      <c r="N16" s="8">
        <f t="shared" si="10"/>
        <v>45.492888020696</v>
      </c>
      <c r="O16" s="24">
        <f t="shared" si="11"/>
        <v>2069.6028604635858</v>
      </c>
    </row>
    <row r="17" spans="1:15" ht="15.6" x14ac:dyDescent="0.3">
      <c r="A17" s="19">
        <v>45062</v>
      </c>
      <c r="B17" s="21">
        <v>1767</v>
      </c>
      <c r="C17" s="8">
        <f t="shared" si="4"/>
        <v>3</v>
      </c>
      <c r="D17" s="25">
        <f t="shared" si="13"/>
        <v>2306</v>
      </c>
      <c r="E17" s="22">
        <f t="shared" si="5"/>
        <v>-539</v>
      </c>
      <c r="F17" s="8">
        <f t="shared" si="6"/>
        <v>539</v>
      </c>
      <c r="G17" s="22">
        <f t="shared" si="7"/>
        <v>290521</v>
      </c>
      <c r="H17" s="8">
        <f t="shared" si="0"/>
        <v>2160.2857142857142</v>
      </c>
      <c r="I17" s="22">
        <f t="shared" si="1"/>
        <v>-393.28571428571422</v>
      </c>
      <c r="J17" s="8">
        <f t="shared" si="8"/>
        <v>393.28571428571422</v>
      </c>
      <c r="K17" s="23">
        <f t="shared" si="9"/>
        <v>154673.65306122444</v>
      </c>
      <c r="L17" s="8">
        <f t="shared" si="2"/>
        <v>1924.0021682688334</v>
      </c>
      <c r="M17" s="22">
        <f t="shared" si="3"/>
        <v>-157.00216826883343</v>
      </c>
      <c r="N17" s="8">
        <f t="shared" si="10"/>
        <v>157.00216826883343</v>
      </c>
      <c r="O17" s="24">
        <f t="shared" si="11"/>
        <v>24649.680841115085</v>
      </c>
    </row>
    <row r="18" spans="1:15" ht="15.6" x14ac:dyDescent="0.3">
      <c r="A18" s="19">
        <v>45063</v>
      </c>
      <c r="B18" s="21">
        <v>1911</v>
      </c>
      <c r="C18" s="8">
        <f t="shared" si="4"/>
        <v>4</v>
      </c>
      <c r="D18" s="25">
        <f t="shared" si="13"/>
        <v>1988</v>
      </c>
      <c r="E18" s="22">
        <f t="shared" si="5"/>
        <v>-77</v>
      </c>
      <c r="F18" s="8">
        <f t="shared" si="6"/>
        <v>77</v>
      </c>
      <c r="G18" s="22">
        <f t="shared" si="7"/>
        <v>5929</v>
      </c>
      <c r="H18" s="8">
        <f t="shared" si="0"/>
        <v>2247.7142857142858</v>
      </c>
      <c r="I18" s="22">
        <f t="shared" si="1"/>
        <v>-336.71428571428578</v>
      </c>
      <c r="J18" s="8">
        <f t="shared" si="8"/>
        <v>336.71428571428578</v>
      </c>
      <c r="K18" s="23">
        <f t="shared" si="9"/>
        <v>113376.51020408167</v>
      </c>
      <c r="L18" s="8">
        <f t="shared" si="2"/>
        <v>2018.761837920043</v>
      </c>
      <c r="M18" s="22">
        <f t="shared" si="3"/>
        <v>-107.76183792004304</v>
      </c>
      <c r="N18" s="8">
        <f t="shared" si="10"/>
        <v>107.76183792004304</v>
      </c>
      <c r="O18" s="24">
        <f t="shared" si="11"/>
        <v>11612.613711905626</v>
      </c>
    </row>
    <row r="19" spans="1:15" ht="15.6" x14ac:dyDescent="0.3">
      <c r="A19" s="19">
        <v>45064</v>
      </c>
      <c r="B19" s="21">
        <v>2036</v>
      </c>
      <c r="C19" s="8">
        <f t="shared" si="4"/>
        <v>5</v>
      </c>
      <c r="D19" s="25">
        <f t="shared" si="13"/>
        <v>1886</v>
      </c>
      <c r="E19" s="22">
        <f t="shared" si="5"/>
        <v>150</v>
      </c>
      <c r="F19" s="8">
        <f t="shared" si="6"/>
        <v>150</v>
      </c>
      <c r="G19" s="22">
        <f t="shared" si="7"/>
        <v>22500</v>
      </c>
      <c r="H19" s="8">
        <f t="shared" si="0"/>
        <v>2156.1428571428573</v>
      </c>
      <c r="I19" s="22">
        <f t="shared" si="1"/>
        <v>-120.14285714285734</v>
      </c>
      <c r="J19" s="8">
        <f t="shared" si="8"/>
        <v>120.14285714285734</v>
      </c>
      <c r="K19" s="23">
        <f t="shared" si="9"/>
        <v>14434.306122449027</v>
      </c>
      <c r="L19" s="8">
        <f t="shared" si="2"/>
        <v>1951.8900304156307</v>
      </c>
      <c r="M19" s="22">
        <f t="shared" si="3"/>
        <v>84.10996958436931</v>
      </c>
      <c r="N19" s="8">
        <f t="shared" si="10"/>
        <v>84.10996958436931</v>
      </c>
      <c r="O19" s="24">
        <f t="shared" si="11"/>
        <v>7074.4869834835308</v>
      </c>
    </row>
    <row r="20" spans="1:15" ht="15.6" x14ac:dyDescent="0.3">
      <c r="A20" s="19">
        <v>45065</v>
      </c>
      <c r="B20" s="21">
        <v>1428</v>
      </c>
      <c r="C20" s="8">
        <f t="shared" si="4"/>
        <v>6</v>
      </c>
      <c r="D20" s="25">
        <f t="shared" si="13"/>
        <v>1365</v>
      </c>
      <c r="E20" s="22">
        <f t="shared" si="5"/>
        <v>63</v>
      </c>
      <c r="F20" s="8">
        <f t="shared" si="6"/>
        <v>63</v>
      </c>
      <c r="G20" s="22">
        <f t="shared" si="7"/>
        <v>3969</v>
      </c>
      <c r="H20" s="8">
        <f t="shared" si="0"/>
        <v>1746.1428571428571</v>
      </c>
      <c r="I20" s="22">
        <f t="shared" si="1"/>
        <v>-318.14285714285711</v>
      </c>
      <c r="J20" s="8">
        <f t="shared" si="8"/>
        <v>318.14285714285711</v>
      </c>
      <c r="K20" s="23">
        <f t="shared" si="9"/>
        <v>101214.87755102038</v>
      </c>
      <c r="L20" s="8">
        <f t="shared" si="2"/>
        <v>1536.8863422286627</v>
      </c>
      <c r="M20" s="22">
        <f t="shared" si="3"/>
        <v>-108.88634222866267</v>
      </c>
      <c r="N20" s="8">
        <f t="shared" si="10"/>
        <v>108.88634222866267</v>
      </c>
      <c r="O20" s="24">
        <f t="shared" si="11"/>
        <v>11856.235523937448</v>
      </c>
    </row>
    <row r="21" spans="1:15" ht="15.6" x14ac:dyDescent="0.3">
      <c r="A21" s="19">
        <v>45066</v>
      </c>
      <c r="B21" s="21">
        <v>1008</v>
      </c>
      <c r="C21" s="8">
        <f t="shared" si="4"/>
        <v>7</v>
      </c>
      <c r="D21" s="25">
        <f t="shared" si="13"/>
        <v>998</v>
      </c>
      <c r="E21" s="22">
        <f t="shared" si="5"/>
        <v>10</v>
      </c>
      <c r="F21" s="8">
        <f t="shared" si="6"/>
        <v>10</v>
      </c>
      <c r="G21" s="22">
        <f t="shared" si="7"/>
        <v>100</v>
      </c>
      <c r="H21" s="8">
        <f t="shared" si="0"/>
        <v>1250</v>
      </c>
      <c r="I21" s="22">
        <f t="shared" si="1"/>
        <v>-242</v>
      </c>
      <c r="J21" s="8">
        <f t="shared" si="8"/>
        <v>242</v>
      </c>
      <c r="K21" s="23">
        <f t="shared" si="9"/>
        <v>58564</v>
      </c>
      <c r="L21" s="8">
        <f t="shared" si="2"/>
        <v>1085.7771059109568</v>
      </c>
      <c r="M21" s="22">
        <f t="shared" si="3"/>
        <v>-77.777105910956834</v>
      </c>
      <c r="N21" s="8">
        <f t="shared" si="10"/>
        <v>77.777105910956834</v>
      </c>
      <c r="O21" s="24">
        <f t="shared" si="11"/>
        <v>6049.278203884197</v>
      </c>
    </row>
    <row r="22" spans="1:15" ht="15.6" x14ac:dyDescent="0.3">
      <c r="A22" s="19">
        <v>45067</v>
      </c>
      <c r="B22" s="21">
        <v>1082</v>
      </c>
      <c r="C22" s="8">
        <f t="shared" si="4"/>
        <v>1</v>
      </c>
      <c r="D22" s="25">
        <f t="shared" si="13"/>
        <v>1052</v>
      </c>
      <c r="E22" s="22">
        <f t="shared" si="5"/>
        <v>30</v>
      </c>
      <c r="F22" s="8">
        <f t="shared" si="6"/>
        <v>30</v>
      </c>
      <c r="G22" s="22">
        <f t="shared" si="7"/>
        <v>900</v>
      </c>
      <c r="H22" s="8">
        <f t="shared" si="0"/>
        <v>1194.2857142857142</v>
      </c>
      <c r="I22" s="22">
        <f t="shared" si="1"/>
        <v>-112.28571428571422</v>
      </c>
      <c r="J22" s="8">
        <f t="shared" si="8"/>
        <v>112.28571428571422</v>
      </c>
      <c r="K22" s="23">
        <f t="shared" si="9"/>
        <v>12608.081632653046</v>
      </c>
      <c r="L22" s="8">
        <f t="shared" si="2"/>
        <v>1030.5797910401948</v>
      </c>
      <c r="M22" s="22">
        <f t="shared" si="3"/>
        <v>51.420208959805223</v>
      </c>
      <c r="N22" s="8">
        <f t="shared" si="10"/>
        <v>51.420208959805223</v>
      </c>
      <c r="O22" s="24">
        <f t="shared" si="11"/>
        <v>2644.0378894700334</v>
      </c>
    </row>
    <row r="23" spans="1:15" ht="15.6" x14ac:dyDescent="0.3">
      <c r="A23" s="19">
        <v>45068</v>
      </c>
      <c r="B23" s="21">
        <v>1921</v>
      </c>
      <c r="C23" s="8">
        <f t="shared" si="4"/>
        <v>2</v>
      </c>
      <c r="D23" s="25">
        <f t="shared" si="13"/>
        <v>1905</v>
      </c>
      <c r="E23" s="22">
        <f t="shared" si="5"/>
        <v>16</v>
      </c>
      <c r="F23" s="8">
        <f t="shared" si="6"/>
        <v>16</v>
      </c>
      <c r="G23" s="22">
        <f t="shared" si="7"/>
        <v>256</v>
      </c>
      <c r="H23" s="8">
        <f t="shared" si="0"/>
        <v>2154.2857142857142</v>
      </c>
      <c r="I23" s="22">
        <f t="shared" si="1"/>
        <v>-233.28571428571422</v>
      </c>
      <c r="J23" s="8">
        <f t="shared" si="8"/>
        <v>233.28571428571422</v>
      </c>
      <c r="K23" s="23">
        <f t="shared" si="9"/>
        <v>54422.224489795888</v>
      </c>
      <c r="L23" s="8">
        <f t="shared" si="2"/>
        <v>2107.1537199041031</v>
      </c>
      <c r="M23" s="22">
        <f t="shared" si="3"/>
        <v>-186.15371990410313</v>
      </c>
      <c r="N23" s="8">
        <f t="shared" si="10"/>
        <v>186.15371990410313</v>
      </c>
      <c r="O23" s="24">
        <f t="shared" si="11"/>
        <v>34653.207434135278</v>
      </c>
    </row>
    <row r="24" spans="1:15" ht="15.6" x14ac:dyDescent="0.3">
      <c r="A24" s="19">
        <v>45069</v>
      </c>
      <c r="B24" s="21">
        <v>1780</v>
      </c>
      <c r="C24" s="8">
        <f t="shared" si="4"/>
        <v>3</v>
      </c>
      <c r="D24" s="25">
        <f t="shared" si="13"/>
        <v>1767</v>
      </c>
      <c r="E24" s="22">
        <f t="shared" si="5"/>
        <v>13</v>
      </c>
      <c r="F24" s="8">
        <f t="shared" si="6"/>
        <v>13</v>
      </c>
      <c r="G24" s="22">
        <f t="shared" si="7"/>
        <v>169</v>
      </c>
      <c r="H24" s="8">
        <f t="shared" si="0"/>
        <v>2160.2857142857142</v>
      </c>
      <c r="I24" s="22">
        <f t="shared" si="1"/>
        <v>-380.28571428571422</v>
      </c>
      <c r="J24" s="8">
        <f t="shared" si="8"/>
        <v>380.28571428571422</v>
      </c>
      <c r="K24" s="23">
        <f t="shared" si="9"/>
        <v>144617.22448979586</v>
      </c>
      <c r="L24" s="8">
        <f t="shared" si="2"/>
        <v>2080.6630001522408</v>
      </c>
      <c r="M24" s="22">
        <f t="shared" si="3"/>
        <v>-300.66300015224078</v>
      </c>
      <c r="N24" s="8">
        <f t="shared" si="10"/>
        <v>300.66300015224078</v>
      </c>
      <c r="O24" s="24">
        <f t="shared" si="11"/>
        <v>90398.239660546344</v>
      </c>
    </row>
    <row r="25" spans="1:15" ht="15.6" x14ac:dyDescent="0.3">
      <c r="A25" s="19">
        <v>45070</v>
      </c>
      <c r="B25" s="21">
        <v>2071</v>
      </c>
      <c r="C25" s="8">
        <f t="shared" si="4"/>
        <v>4</v>
      </c>
      <c r="D25" s="25">
        <f t="shared" si="13"/>
        <v>1911</v>
      </c>
      <c r="E25" s="22">
        <f t="shared" si="5"/>
        <v>160</v>
      </c>
      <c r="F25" s="8">
        <f t="shared" si="6"/>
        <v>160</v>
      </c>
      <c r="G25" s="22">
        <f t="shared" si="7"/>
        <v>25600</v>
      </c>
      <c r="H25" s="8">
        <f t="shared" si="0"/>
        <v>2247.7142857142858</v>
      </c>
      <c r="I25" s="22">
        <f t="shared" si="1"/>
        <v>-176.71428571428578</v>
      </c>
      <c r="J25" s="8">
        <f t="shared" si="8"/>
        <v>176.71428571428578</v>
      </c>
      <c r="K25" s="23">
        <f t="shared" si="9"/>
        <v>31227.938775510225</v>
      </c>
      <c r="L25" s="8">
        <f t="shared" si="2"/>
        <v>2175.4226698034504</v>
      </c>
      <c r="M25" s="22">
        <f t="shared" si="3"/>
        <v>-104.42266980345039</v>
      </c>
      <c r="N25" s="8">
        <f t="shared" si="10"/>
        <v>104.42266980345039</v>
      </c>
      <c r="O25" s="24">
        <f t="shared" si="11"/>
        <v>10904.09396888043</v>
      </c>
    </row>
    <row r="26" spans="1:15" ht="15.6" x14ac:dyDescent="0.3">
      <c r="A26" s="19">
        <v>45071</v>
      </c>
      <c r="B26" s="21">
        <v>1813</v>
      </c>
      <c r="C26" s="8">
        <f t="shared" si="4"/>
        <v>5</v>
      </c>
      <c r="D26" s="25">
        <f t="shared" si="13"/>
        <v>2036</v>
      </c>
      <c r="E26" s="22">
        <f t="shared" si="5"/>
        <v>-223</v>
      </c>
      <c r="F26" s="8">
        <f t="shared" si="6"/>
        <v>223</v>
      </c>
      <c r="G26" s="22">
        <f t="shared" si="7"/>
        <v>49729</v>
      </c>
      <c r="H26" s="8">
        <f t="shared" si="0"/>
        <v>2156.1428571428573</v>
      </c>
      <c r="I26" s="22">
        <f t="shared" si="1"/>
        <v>-343.14285714285734</v>
      </c>
      <c r="J26" s="8">
        <f t="shared" si="8"/>
        <v>343.14285714285734</v>
      </c>
      <c r="K26" s="23">
        <f t="shared" si="9"/>
        <v>117747.0204081634</v>
      </c>
      <c r="L26" s="8">
        <f t="shared" si="2"/>
        <v>2108.5508622990378</v>
      </c>
      <c r="M26" s="22">
        <f t="shared" si="3"/>
        <v>-295.55086229903782</v>
      </c>
      <c r="N26" s="8">
        <f t="shared" si="10"/>
        <v>295.55086229903782</v>
      </c>
      <c r="O26" s="24">
        <f t="shared" si="11"/>
        <v>87350.312205704817</v>
      </c>
    </row>
    <row r="27" spans="1:15" ht="15.6" x14ac:dyDescent="0.3">
      <c r="A27" s="19">
        <v>45072</v>
      </c>
      <c r="B27" s="21">
        <v>1780</v>
      </c>
      <c r="C27" s="8">
        <f t="shared" si="4"/>
        <v>6</v>
      </c>
      <c r="D27" s="25">
        <f t="shared" si="13"/>
        <v>1428</v>
      </c>
      <c r="E27" s="22">
        <f t="shared" si="5"/>
        <v>352</v>
      </c>
      <c r="F27" s="8">
        <f t="shared" si="6"/>
        <v>352</v>
      </c>
      <c r="G27" s="22">
        <f t="shared" si="7"/>
        <v>123904</v>
      </c>
      <c r="H27" s="8">
        <f t="shared" si="0"/>
        <v>1746.1428571428571</v>
      </c>
      <c r="I27" s="22">
        <f t="shared" si="1"/>
        <v>33.85714285714289</v>
      </c>
      <c r="J27" s="8">
        <f t="shared" si="8"/>
        <v>33.85714285714289</v>
      </c>
      <c r="K27" s="23">
        <f t="shared" si="9"/>
        <v>1146.3061224489818</v>
      </c>
      <c r="L27" s="8">
        <f t="shared" si="2"/>
        <v>1693.5471741120698</v>
      </c>
      <c r="M27" s="22">
        <f t="shared" si="3"/>
        <v>86.452825887930203</v>
      </c>
      <c r="N27" s="8">
        <f t="shared" si="10"/>
        <v>86.452825887930203</v>
      </c>
      <c r="O27" s="24">
        <f t="shared" si="11"/>
        <v>7474.0911040087749</v>
      </c>
    </row>
    <row r="28" spans="1:15" ht="15.6" x14ac:dyDescent="0.3">
      <c r="A28" s="19">
        <v>45073</v>
      </c>
      <c r="B28" s="21">
        <v>1236</v>
      </c>
      <c r="C28" s="8">
        <f t="shared" si="4"/>
        <v>7</v>
      </c>
      <c r="D28" s="25">
        <f t="shared" si="13"/>
        <v>1008</v>
      </c>
      <c r="E28" s="22">
        <f t="shared" si="5"/>
        <v>228</v>
      </c>
      <c r="F28" s="8">
        <f t="shared" si="6"/>
        <v>228</v>
      </c>
      <c r="G28" s="22">
        <f t="shared" si="7"/>
        <v>51984</v>
      </c>
      <c r="H28" s="8">
        <f t="shared" si="0"/>
        <v>1250</v>
      </c>
      <c r="I28" s="22">
        <f t="shared" si="1"/>
        <v>-14</v>
      </c>
      <c r="J28" s="8">
        <f t="shared" si="8"/>
        <v>14</v>
      </c>
      <c r="K28" s="23">
        <f t="shared" si="9"/>
        <v>196</v>
      </c>
      <c r="L28" s="8">
        <f t="shared" si="2"/>
        <v>1242.4379377943637</v>
      </c>
      <c r="M28" s="22">
        <f t="shared" si="3"/>
        <v>-6.4379377943637337</v>
      </c>
      <c r="N28" s="8">
        <f t="shared" si="10"/>
        <v>6.4379377943637337</v>
      </c>
      <c r="O28" s="24">
        <f t="shared" si="11"/>
        <v>41.447043044096979</v>
      </c>
    </row>
    <row r="29" spans="1:15" ht="15.6" x14ac:dyDescent="0.3">
      <c r="A29" s="19">
        <v>45074</v>
      </c>
      <c r="B29" s="21">
        <v>1082</v>
      </c>
      <c r="C29" s="8">
        <f t="shared" si="4"/>
        <v>1</v>
      </c>
      <c r="D29" s="25">
        <f t="shared" si="13"/>
        <v>1082</v>
      </c>
      <c r="E29" s="22">
        <f t="shared" si="5"/>
        <v>0</v>
      </c>
      <c r="F29" s="8">
        <f t="shared" si="6"/>
        <v>0</v>
      </c>
      <c r="G29" s="22">
        <f t="shared" si="7"/>
        <v>0</v>
      </c>
      <c r="H29" s="8">
        <f t="shared" si="0"/>
        <v>1194.2857142857142</v>
      </c>
      <c r="I29" s="22">
        <f t="shared" si="1"/>
        <v>-112.28571428571422</v>
      </c>
      <c r="J29" s="8">
        <f t="shared" si="8"/>
        <v>112.28571428571422</v>
      </c>
      <c r="K29" s="23">
        <f t="shared" si="9"/>
        <v>12608.081632653046</v>
      </c>
      <c r="L29" s="8">
        <f t="shared" si="2"/>
        <v>1187.2406229236021</v>
      </c>
      <c r="M29" s="22">
        <f t="shared" si="3"/>
        <v>-105.24062292360213</v>
      </c>
      <c r="N29" s="8">
        <f t="shared" si="10"/>
        <v>105.24062292360213</v>
      </c>
      <c r="O29" s="24">
        <f t="shared" si="11"/>
        <v>11075.58871334781</v>
      </c>
    </row>
    <row r="30" spans="1:15" ht="15.6" x14ac:dyDescent="0.3">
      <c r="A30" s="19">
        <v>45075</v>
      </c>
      <c r="B30" s="21">
        <v>1777</v>
      </c>
      <c r="C30" s="8">
        <f t="shared" si="4"/>
        <v>2</v>
      </c>
      <c r="D30" s="25">
        <f t="shared" si="13"/>
        <v>1921</v>
      </c>
      <c r="E30" s="22">
        <f t="shared" si="5"/>
        <v>-144</v>
      </c>
      <c r="F30" s="8">
        <f t="shared" si="6"/>
        <v>144</v>
      </c>
      <c r="G30" s="22">
        <f t="shared" si="7"/>
        <v>20736</v>
      </c>
      <c r="H30" s="8">
        <f t="shared" si="0"/>
        <v>2154.2857142857142</v>
      </c>
      <c r="I30" s="22">
        <f t="shared" si="1"/>
        <v>-377.28571428571422</v>
      </c>
      <c r="J30" s="8">
        <f t="shared" si="8"/>
        <v>377.28571428571422</v>
      </c>
      <c r="K30" s="23">
        <f t="shared" si="9"/>
        <v>142344.51020408157</v>
      </c>
      <c r="L30" s="8">
        <f t="shared" si="2"/>
        <v>2263.8145517875105</v>
      </c>
      <c r="M30" s="22">
        <f t="shared" si="3"/>
        <v>-486.81455178751048</v>
      </c>
      <c r="N30" s="8">
        <f t="shared" si="10"/>
        <v>486.81455178751048</v>
      </c>
      <c r="O30" s="24">
        <f t="shared" si="11"/>
        <v>236988.40783207474</v>
      </c>
    </row>
    <row r="31" spans="1:15" ht="15.6" x14ac:dyDescent="0.3">
      <c r="A31" s="19">
        <v>45076</v>
      </c>
      <c r="B31" s="21">
        <v>1766</v>
      </c>
      <c r="C31" s="8">
        <f t="shared" si="4"/>
        <v>3</v>
      </c>
      <c r="D31" s="25">
        <f t="shared" si="13"/>
        <v>1780</v>
      </c>
      <c r="E31" s="22">
        <f t="shared" si="5"/>
        <v>-14</v>
      </c>
      <c r="F31" s="8">
        <f t="shared" si="6"/>
        <v>14</v>
      </c>
      <c r="G31" s="22">
        <f t="shared" si="7"/>
        <v>196</v>
      </c>
      <c r="H31" s="8">
        <f t="shared" si="0"/>
        <v>2160.2857142857142</v>
      </c>
      <c r="I31" s="22">
        <f t="shared" si="1"/>
        <v>-394.28571428571422</v>
      </c>
      <c r="J31" s="8">
        <f t="shared" si="8"/>
        <v>394.28571428571422</v>
      </c>
      <c r="K31" s="23">
        <f t="shared" si="9"/>
        <v>155461.22448979586</v>
      </c>
      <c r="L31" s="8">
        <f t="shared" si="2"/>
        <v>2237.3238320356477</v>
      </c>
      <c r="M31" s="22">
        <f t="shared" si="3"/>
        <v>-471.32383203564768</v>
      </c>
      <c r="N31" s="8">
        <f t="shared" si="10"/>
        <v>471.32383203564768</v>
      </c>
      <c r="O31" s="24">
        <f t="shared" si="11"/>
        <v>222146.15464476743</v>
      </c>
    </row>
    <row r="32" spans="1:15" ht="15.6" x14ac:dyDescent="0.3">
      <c r="A32" s="19">
        <v>45077</v>
      </c>
      <c r="B32" s="21">
        <v>1884</v>
      </c>
      <c r="C32" s="8">
        <f t="shared" si="4"/>
        <v>4</v>
      </c>
      <c r="D32" s="25">
        <f t="shared" si="13"/>
        <v>2071</v>
      </c>
      <c r="E32" s="22">
        <f t="shared" si="5"/>
        <v>-187</v>
      </c>
      <c r="F32" s="8">
        <f t="shared" si="6"/>
        <v>187</v>
      </c>
      <c r="G32" s="22">
        <f t="shared" si="7"/>
        <v>34969</v>
      </c>
      <c r="H32" s="8">
        <f t="shared" si="0"/>
        <v>2247.7142857142858</v>
      </c>
      <c r="I32" s="22">
        <f t="shared" si="1"/>
        <v>-363.71428571428578</v>
      </c>
      <c r="J32" s="8">
        <f t="shared" si="8"/>
        <v>363.71428571428578</v>
      </c>
      <c r="K32" s="23">
        <f t="shared" si="9"/>
        <v>132288.08163265311</v>
      </c>
      <c r="L32" s="8">
        <f t="shared" si="2"/>
        <v>2332.0835016868573</v>
      </c>
      <c r="M32" s="22">
        <f t="shared" si="3"/>
        <v>-448.08350168685729</v>
      </c>
      <c r="N32" s="8">
        <f t="shared" si="10"/>
        <v>448.08350168685729</v>
      </c>
      <c r="O32" s="24">
        <f t="shared" si="11"/>
        <v>200778.82448395583</v>
      </c>
    </row>
    <row r="33" spans="1:15" ht="15.6" x14ac:dyDescent="0.3">
      <c r="A33" s="19">
        <v>45078</v>
      </c>
      <c r="B33" s="21">
        <v>1780</v>
      </c>
      <c r="C33" s="8">
        <f t="shared" si="4"/>
        <v>5</v>
      </c>
      <c r="D33" s="25">
        <f t="shared" si="13"/>
        <v>1813</v>
      </c>
      <c r="E33" s="22">
        <f t="shared" si="5"/>
        <v>-33</v>
      </c>
      <c r="F33" s="8">
        <f t="shared" si="6"/>
        <v>33</v>
      </c>
      <c r="G33" s="22">
        <f t="shared" si="7"/>
        <v>1089</v>
      </c>
      <c r="H33" s="8">
        <f t="shared" si="0"/>
        <v>2156.1428571428573</v>
      </c>
      <c r="I33" s="22">
        <f t="shared" si="1"/>
        <v>-376.14285714285734</v>
      </c>
      <c r="J33" s="8">
        <f t="shared" si="8"/>
        <v>376.14285714285734</v>
      </c>
      <c r="K33" s="23">
        <f t="shared" si="9"/>
        <v>141483.44897959198</v>
      </c>
      <c r="L33" s="8">
        <f t="shared" si="2"/>
        <v>2265.2116941824452</v>
      </c>
      <c r="M33" s="22">
        <f t="shared" si="3"/>
        <v>-485.21169418244517</v>
      </c>
      <c r="N33" s="8">
        <f t="shared" si="10"/>
        <v>485.21169418244517</v>
      </c>
      <c r="O33" s="24">
        <f t="shared" si="11"/>
        <v>235430.38817139869</v>
      </c>
    </row>
    <row r="34" spans="1:15" ht="15.6" x14ac:dyDescent="0.3">
      <c r="A34" s="19">
        <v>45079</v>
      </c>
      <c r="B34" s="21">
        <v>1572</v>
      </c>
      <c r="C34" s="8">
        <f t="shared" si="4"/>
        <v>6</v>
      </c>
      <c r="D34" s="25">
        <f t="shared" si="13"/>
        <v>1780</v>
      </c>
      <c r="E34" s="22">
        <f t="shared" si="5"/>
        <v>-208</v>
      </c>
      <c r="F34" s="8">
        <f t="shared" si="6"/>
        <v>208</v>
      </c>
      <c r="G34" s="22">
        <f t="shared" si="7"/>
        <v>43264</v>
      </c>
      <c r="H34" s="8">
        <f t="shared" ref="H34:H57" si="14">VLOOKUP(C34, $R$2:$T$8, 3, FALSE)</f>
        <v>1746.1428571428571</v>
      </c>
      <c r="I34" s="22">
        <f t="shared" ref="I34:I57" si="15">B34-H34</f>
        <v>-174.14285714285711</v>
      </c>
      <c r="J34" s="8">
        <f t="shared" si="8"/>
        <v>174.14285714285711</v>
      </c>
      <c r="K34" s="23">
        <f t="shared" si="9"/>
        <v>30325.734693877541</v>
      </c>
      <c r="L34" s="8">
        <f t="shared" ref="L34:L57" si="16">_xlfn.FORECAST.ETS(A34, $B$2:$B$50, $A$2:$A$50, 7, 1, 1)</f>
        <v>1850.2080059954772</v>
      </c>
      <c r="M34" s="22">
        <f t="shared" ref="M34:M57" si="17">B34-L34</f>
        <v>-278.20800599547715</v>
      </c>
      <c r="N34" s="8">
        <f t="shared" si="10"/>
        <v>278.20800599547715</v>
      </c>
      <c r="O34" s="24">
        <f t="shared" si="11"/>
        <v>77399.694599979455</v>
      </c>
    </row>
    <row r="35" spans="1:15" ht="15.6" x14ac:dyDescent="0.3">
      <c r="A35" s="19">
        <v>45080</v>
      </c>
      <c r="B35" s="21">
        <v>948</v>
      </c>
      <c r="C35" s="8">
        <f t="shared" si="4"/>
        <v>7</v>
      </c>
      <c r="D35" s="25">
        <f t="shared" si="13"/>
        <v>1236</v>
      </c>
      <c r="E35" s="22">
        <f t="shared" si="5"/>
        <v>-288</v>
      </c>
      <c r="F35" s="8">
        <f t="shared" si="6"/>
        <v>288</v>
      </c>
      <c r="G35" s="22">
        <f t="shared" si="7"/>
        <v>82944</v>
      </c>
      <c r="H35" s="8">
        <f t="shared" si="14"/>
        <v>1250</v>
      </c>
      <c r="I35" s="22">
        <f t="shared" si="15"/>
        <v>-302</v>
      </c>
      <c r="J35" s="8">
        <f t="shared" si="8"/>
        <v>302</v>
      </c>
      <c r="K35" s="23">
        <f t="shared" si="9"/>
        <v>91204</v>
      </c>
      <c r="L35" s="8">
        <f t="shared" si="16"/>
        <v>1399.0987696777711</v>
      </c>
      <c r="M35" s="22">
        <f t="shared" si="17"/>
        <v>-451.09876967777109</v>
      </c>
      <c r="N35" s="8">
        <f t="shared" si="10"/>
        <v>451.09876967777109</v>
      </c>
      <c r="O35" s="24">
        <f t="shared" si="11"/>
        <v>203490.10000479876</v>
      </c>
    </row>
    <row r="36" spans="1:15" ht="15.6" x14ac:dyDescent="0.3">
      <c r="A36" s="19">
        <v>45081</v>
      </c>
      <c r="B36" s="21">
        <v>1085</v>
      </c>
      <c r="C36" s="8">
        <f t="shared" si="4"/>
        <v>1</v>
      </c>
      <c r="D36" s="25">
        <f t="shared" si="13"/>
        <v>1082</v>
      </c>
      <c r="E36" s="22">
        <f t="shared" si="5"/>
        <v>3</v>
      </c>
      <c r="F36" s="8">
        <f t="shared" si="6"/>
        <v>3</v>
      </c>
      <c r="G36" s="22">
        <f t="shared" si="7"/>
        <v>9</v>
      </c>
      <c r="H36" s="8">
        <f t="shared" si="14"/>
        <v>1194.2857142857142</v>
      </c>
      <c r="I36" s="22">
        <f t="shared" si="15"/>
        <v>-109.28571428571422</v>
      </c>
      <c r="J36" s="8">
        <f t="shared" si="8"/>
        <v>109.28571428571422</v>
      </c>
      <c r="K36" s="23">
        <f t="shared" si="9"/>
        <v>11943.367346938761</v>
      </c>
      <c r="L36" s="8">
        <f t="shared" si="16"/>
        <v>1343.901454807009</v>
      </c>
      <c r="M36" s="22">
        <f t="shared" si="17"/>
        <v>-258.90145480700903</v>
      </c>
      <c r="N36" s="8">
        <f t="shared" si="10"/>
        <v>258.90145480700903</v>
      </c>
      <c r="O36" s="24">
        <f t="shared" si="11"/>
        <v>67029.963301185737</v>
      </c>
    </row>
    <row r="37" spans="1:15" ht="15.6" x14ac:dyDescent="0.3">
      <c r="A37" s="19">
        <v>45082</v>
      </c>
      <c r="B37" s="21">
        <v>2917</v>
      </c>
      <c r="C37" s="8">
        <f t="shared" si="4"/>
        <v>2</v>
      </c>
      <c r="D37" s="25">
        <f t="shared" si="13"/>
        <v>1777</v>
      </c>
      <c r="E37" s="22">
        <f t="shared" si="5"/>
        <v>1140</v>
      </c>
      <c r="F37" s="8">
        <f t="shared" si="6"/>
        <v>1140</v>
      </c>
      <c r="G37" s="22">
        <f t="shared" si="7"/>
        <v>1299600</v>
      </c>
      <c r="H37" s="8">
        <f t="shared" si="14"/>
        <v>2154.2857142857142</v>
      </c>
      <c r="I37" s="22">
        <f t="shared" si="15"/>
        <v>762.71428571428578</v>
      </c>
      <c r="J37" s="8">
        <f t="shared" si="8"/>
        <v>762.71428571428578</v>
      </c>
      <c r="K37" s="23">
        <f t="shared" si="9"/>
        <v>581733.08163265313</v>
      </c>
      <c r="L37" s="8">
        <f t="shared" si="16"/>
        <v>2420.4753836709178</v>
      </c>
      <c r="M37" s="22">
        <f t="shared" si="17"/>
        <v>496.52461632908216</v>
      </c>
      <c r="N37" s="8">
        <f t="shared" si="10"/>
        <v>496.52461632908216</v>
      </c>
      <c r="O37" s="24">
        <f t="shared" si="11"/>
        <v>246536.69462074226</v>
      </c>
    </row>
    <row r="38" spans="1:15" ht="15.6" x14ac:dyDescent="0.3">
      <c r="A38" s="19">
        <v>45083</v>
      </c>
      <c r="B38" s="21">
        <v>2801</v>
      </c>
      <c r="C38" s="8">
        <f t="shared" si="4"/>
        <v>3</v>
      </c>
      <c r="D38" s="25">
        <f t="shared" si="13"/>
        <v>1766</v>
      </c>
      <c r="E38" s="22">
        <f t="shared" si="5"/>
        <v>1035</v>
      </c>
      <c r="F38" s="8">
        <f t="shared" si="6"/>
        <v>1035</v>
      </c>
      <c r="G38" s="22">
        <f t="shared" si="7"/>
        <v>1071225</v>
      </c>
      <c r="H38" s="8">
        <f t="shared" si="14"/>
        <v>2160.2857142857142</v>
      </c>
      <c r="I38" s="22">
        <f t="shared" si="15"/>
        <v>640.71428571428578</v>
      </c>
      <c r="J38" s="8">
        <f t="shared" si="8"/>
        <v>640.71428571428578</v>
      </c>
      <c r="K38" s="23">
        <f t="shared" si="9"/>
        <v>410514.79591836745</v>
      </c>
      <c r="L38" s="8">
        <f t="shared" si="16"/>
        <v>2393.984663919055</v>
      </c>
      <c r="M38" s="22">
        <f t="shared" si="17"/>
        <v>407.01533608094496</v>
      </c>
      <c r="N38" s="8">
        <f t="shared" si="10"/>
        <v>407.01533608094496</v>
      </c>
      <c r="O38" s="24">
        <f t="shared" si="11"/>
        <v>165661.48380508457</v>
      </c>
    </row>
    <row r="39" spans="1:15" ht="15.6" x14ac:dyDescent="0.3">
      <c r="A39" s="19">
        <v>45084</v>
      </c>
      <c r="B39" s="21">
        <v>3075</v>
      </c>
      <c r="C39" s="8">
        <f t="shared" si="4"/>
        <v>4</v>
      </c>
      <c r="D39" s="25">
        <f t="shared" si="13"/>
        <v>1884</v>
      </c>
      <c r="E39" s="22">
        <f t="shared" si="5"/>
        <v>1191</v>
      </c>
      <c r="F39" s="8">
        <f t="shared" si="6"/>
        <v>1191</v>
      </c>
      <c r="G39" s="22">
        <f t="shared" si="7"/>
        <v>1418481</v>
      </c>
      <c r="H39" s="8">
        <f t="shared" si="14"/>
        <v>2247.7142857142858</v>
      </c>
      <c r="I39" s="22">
        <f t="shared" si="15"/>
        <v>827.28571428571422</v>
      </c>
      <c r="J39" s="8">
        <f t="shared" si="8"/>
        <v>827.28571428571422</v>
      </c>
      <c r="K39" s="23">
        <f t="shared" si="9"/>
        <v>684401.65306122438</v>
      </c>
      <c r="L39" s="8">
        <f t="shared" si="16"/>
        <v>2488.7443335702646</v>
      </c>
      <c r="M39" s="22">
        <f t="shared" si="17"/>
        <v>586.25566642973536</v>
      </c>
      <c r="N39" s="8">
        <f t="shared" si="10"/>
        <v>586.25566642973536</v>
      </c>
      <c r="O39" s="24">
        <f t="shared" si="11"/>
        <v>343695.70642097312</v>
      </c>
    </row>
    <row r="40" spans="1:15" ht="15.6" x14ac:dyDescent="0.3">
      <c r="A40" s="19">
        <v>45085</v>
      </c>
      <c r="B40" s="21">
        <v>2737</v>
      </c>
      <c r="C40" s="8">
        <f t="shared" si="4"/>
        <v>5</v>
      </c>
      <c r="D40" s="25">
        <f t="shared" si="13"/>
        <v>1780</v>
      </c>
      <c r="E40" s="22">
        <f t="shared" si="5"/>
        <v>957</v>
      </c>
      <c r="F40" s="8">
        <f t="shared" si="6"/>
        <v>957</v>
      </c>
      <c r="G40" s="22">
        <f t="shared" si="7"/>
        <v>915849</v>
      </c>
      <c r="H40" s="8">
        <f t="shared" si="14"/>
        <v>2156.1428571428573</v>
      </c>
      <c r="I40" s="22">
        <f t="shared" si="15"/>
        <v>580.85714285714266</v>
      </c>
      <c r="J40" s="8">
        <f t="shared" si="8"/>
        <v>580.85714285714266</v>
      </c>
      <c r="K40" s="23">
        <f t="shared" si="9"/>
        <v>337395.02040816302</v>
      </c>
      <c r="L40" s="8">
        <f t="shared" si="16"/>
        <v>2421.8725260658521</v>
      </c>
      <c r="M40" s="22">
        <f t="shared" si="17"/>
        <v>315.12747393414793</v>
      </c>
      <c r="N40" s="8">
        <f t="shared" si="10"/>
        <v>315.12747393414793</v>
      </c>
      <c r="O40" s="24">
        <f t="shared" si="11"/>
        <v>99305.324828117082</v>
      </c>
    </row>
    <row r="41" spans="1:15" ht="15.6" x14ac:dyDescent="0.3">
      <c r="A41" s="19">
        <v>45086</v>
      </c>
      <c r="B41" s="21">
        <v>2329</v>
      </c>
      <c r="C41" s="8">
        <f t="shared" si="4"/>
        <v>6</v>
      </c>
      <c r="D41" s="25">
        <f t="shared" si="13"/>
        <v>1572</v>
      </c>
      <c r="E41" s="22">
        <f t="shared" si="5"/>
        <v>757</v>
      </c>
      <c r="F41" s="8">
        <f t="shared" si="6"/>
        <v>757</v>
      </c>
      <c r="G41" s="22">
        <f t="shared" si="7"/>
        <v>573049</v>
      </c>
      <c r="H41" s="8">
        <f t="shared" si="14"/>
        <v>1746.1428571428571</v>
      </c>
      <c r="I41" s="22">
        <f t="shared" si="15"/>
        <v>582.85714285714289</v>
      </c>
      <c r="J41" s="8">
        <f t="shared" si="8"/>
        <v>582.85714285714289</v>
      </c>
      <c r="K41" s="23">
        <f t="shared" si="9"/>
        <v>339722.44897959189</v>
      </c>
      <c r="L41" s="8">
        <f t="shared" si="16"/>
        <v>2006.8688378788845</v>
      </c>
      <c r="M41" s="22">
        <f t="shared" si="17"/>
        <v>322.13116212111549</v>
      </c>
      <c r="N41" s="8">
        <f t="shared" si="10"/>
        <v>322.13116212111549</v>
      </c>
      <c r="O41" s="24">
        <f t="shared" si="11"/>
        <v>103768.48560950039</v>
      </c>
    </row>
    <row r="42" spans="1:15" ht="15.6" x14ac:dyDescent="0.3">
      <c r="A42" s="19">
        <v>45087</v>
      </c>
      <c r="B42" s="21">
        <v>1540</v>
      </c>
      <c r="C42" s="8">
        <f t="shared" si="4"/>
        <v>7</v>
      </c>
      <c r="D42" s="25">
        <f t="shared" si="13"/>
        <v>948</v>
      </c>
      <c r="E42" s="22">
        <f t="shared" si="5"/>
        <v>592</v>
      </c>
      <c r="F42" s="8">
        <f t="shared" si="6"/>
        <v>592</v>
      </c>
      <c r="G42" s="22">
        <f t="shared" si="7"/>
        <v>350464</v>
      </c>
      <c r="H42" s="8">
        <f t="shared" si="14"/>
        <v>1250</v>
      </c>
      <c r="I42" s="22">
        <f t="shared" si="15"/>
        <v>290</v>
      </c>
      <c r="J42" s="8">
        <f t="shared" si="8"/>
        <v>290</v>
      </c>
      <c r="K42" s="23">
        <f t="shared" si="9"/>
        <v>84100</v>
      </c>
      <c r="L42" s="8">
        <f t="shared" si="16"/>
        <v>1555.759601561178</v>
      </c>
      <c r="M42" s="22">
        <f t="shared" si="17"/>
        <v>-15.759601561177988</v>
      </c>
      <c r="N42" s="8">
        <f t="shared" si="10"/>
        <v>15.759601561177988</v>
      </c>
      <c r="O42" s="24">
        <f t="shared" si="11"/>
        <v>248.36504136708368</v>
      </c>
    </row>
    <row r="43" spans="1:15" ht="15.6" x14ac:dyDescent="0.3">
      <c r="A43" s="19">
        <v>45088</v>
      </c>
      <c r="B43" s="21">
        <v>1787</v>
      </c>
      <c r="C43" s="8">
        <f t="shared" si="4"/>
        <v>1</v>
      </c>
      <c r="D43" s="25">
        <f t="shared" si="13"/>
        <v>1085</v>
      </c>
      <c r="E43" s="22">
        <f t="shared" si="5"/>
        <v>702</v>
      </c>
      <c r="F43" s="8">
        <f t="shared" si="6"/>
        <v>702</v>
      </c>
      <c r="G43" s="22">
        <f t="shared" si="7"/>
        <v>492804</v>
      </c>
      <c r="H43" s="8">
        <f t="shared" si="14"/>
        <v>1194.2857142857142</v>
      </c>
      <c r="I43" s="22">
        <f t="shared" si="15"/>
        <v>592.71428571428578</v>
      </c>
      <c r="J43" s="8">
        <f t="shared" si="8"/>
        <v>592.71428571428578</v>
      </c>
      <c r="K43" s="23">
        <f t="shared" si="9"/>
        <v>351310.22448979598</v>
      </c>
      <c r="L43" s="8">
        <f t="shared" si="16"/>
        <v>1500.5622866904164</v>
      </c>
      <c r="M43" s="22">
        <f t="shared" si="17"/>
        <v>286.43771330958361</v>
      </c>
      <c r="N43" s="8">
        <f t="shared" si="10"/>
        <v>286.43771330958361</v>
      </c>
      <c r="O43" s="24">
        <f t="shared" si="11"/>
        <v>82046.563606023221</v>
      </c>
    </row>
    <row r="44" spans="1:15" ht="15.6" x14ac:dyDescent="0.3">
      <c r="A44" s="19">
        <v>45089</v>
      </c>
      <c r="B44" s="21">
        <v>3102</v>
      </c>
      <c r="C44" s="8">
        <f t="shared" si="4"/>
        <v>2</v>
      </c>
      <c r="D44" s="25">
        <f t="shared" si="13"/>
        <v>2917</v>
      </c>
      <c r="E44" s="22">
        <f t="shared" si="5"/>
        <v>185</v>
      </c>
      <c r="F44" s="8">
        <f t="shared" si="6"/>
        <v>185</v>
      </c>
      <c r="G44" s="22">
        <f t="shared" si="7"/>
        <v>34225</v>
      </c>
      <c r="H44" s="8">
        <f t="shared" si="14"/>
        <v>2154.2857142857142</v>
      </c>
      <c r="I44" s="22">
        <f t="shared" si="15"/>
        <v>947.71428571428578</v>
      </c>
      <c r="J44" s="8">
        <f t="shared" si="8"/>
        <v>947.71428571428578</v>
      </c>
      <c r="K44" s="23">
        <f t="shared" si="9"/>
        <v>898162.36734693893</v>
      </c>
      <c r="L44" s="8">
        <f t="shared" si="16"/>
        <v>2577.1362155543247</v>
      </c>
      <c r="M44" s="22">
        <f t="shared" si="17"/>
        <v>524.86378444567526</v>
      </c>
      <c r="N44" s="8">
        <f t="shared" si="10"/>
        <v>524.86378444567526</v>
      </c>
      <c r="O44" s="24">
        <f t="shared" si="11"/>
        <v>275481.99222263624</v>
      </c>
    </row>
    <row r="45" spans="1:15" ht="15.6" x14ac:dyDescent="0.3">
      <c r="A45" s="19">
        <v>45090</v>
      </c>
      <c r="B45" s="21">
        <v>2403</v>
      </c>
      <c r="C45" s="8">
        <f t="shared" si="4"/>
        <v>3</v>
      </c>
      <c r="D45" s="25">
        <f t="shared" si="13"/>
        <v>2801</v>
      </c>
      <c r="E45" s="22">
        <f t="shared" si="5"/>
        <v>-398</v>
      </c>
      <c r="F45" s="8">
        <f t="shared" si="6"/>
        <v>398</v>
      </c>
      <c r="G45" s="22">
        <f t="shared" si="7"/>
        <v>158404</v>
      </c>
      <c r="H45" s="8">
        <f t="shared" si="14"/>
        <v>2160.2857142857142</v>
      </c>
      <c r="I45" s="22">
        <f t="shared" si="15"/>
        <v>242.71428571428578</v>
      </c>
      <c r="J45" s="8">
        <f t="shared" si="8"/>
        <v>242.71428571428578</v>
      </c>
      <c r="K45" s="23">
        <f t="shared" si="9"/>
        <v>58910.224489795946</v>
      </c>
      <c r="L45" s="8">
        <f t="shared" si="16"/>
        <v>2550.6454958024624</v>
      </c>
      <c r="M45" s="22">
        <f t="shared" si="17"/>
        <v>-147.64549580246239</v>
      </c>
      <c r="N45" s="8">
        <f t="shared" si="10"/>
        <v>147.64549580246239</v>
      </c>
      <c r="O45" s="24">
        <f t="shared" si="11"/>
        <v>21799.192430754942</v>
      </c>
    </row>
    <row r="46" spans="1:15" ht="15.6" x14ac:dyDescent="0.3">
      <c r="A46" s="19">
        <v>45091</v>
      </c>
      <c r="B46" s="21">
        <v>2927</v>
      </c>
      <c r="C46" s="8">
        <f t="shared" si="4"/>
        <v>4</v>
      </c>
      <c r="D46" s="25">
        <f t="shared" si="13"/>
        <v>3075</v>
      </c>
      <c r="E46" s="22">
        <f t="shared" si="5"/>
        <v>-148</v>
      </c>
      <c r="F46" s="8">
        <f t="shared" si="6"/>
        <v>148</v>
      </c>
      <c r="G46" s="22">
        <f t="shared" si="7"/>
        <v>21904</v>
      </c>
      <c r="H46" s="8">
        <f t="shared" si="14"/>
        <v>2247.7142857142858</v>
      </c>
      <c r="I46" s="22">
        <f t="shared" si="15"/>
        <v>679.28571428571422</v>
      </c>
      <c r="J46" s="8">
        <f t="shared" si="8"/>
        <v>679.28571428571422</v>
      </c>
      <c r="K46" s="23">
        <f t="shared" si="9"/>
        <v>461429.08163265296</v>
      </c>
      <c r="L46" s="8">
        <f t="shared" si="16"/>
        <v>2645.405165453672</v>
      </c>
      <c r="M46" s="22">
        <f t="shared" si="17"/>
        <v>281.594834546328</v>
      </c>
      <c r="N46" s="8">
        <f t="shared" si="10"/>
        <v>281.594834546328</v>
      </c>
      <c r="O46" s="24">
        <f t="shared" si="11"/>
        <v>79295.650843173848</v>
      </c>
    </row>
    <row r="47" spans="1:15" ht="15.6" x14ac:dyDescent="0.3">
      <c r="A47" s="19">
        <v>45092</v>
      </c>
      <c r="B47" s="21">
        <v>3213</v>
      </c>
      <c r="C47" s="8">
        <f t="shared" si="4"/>
        <v>5</v>
      </c>
      <c r="D47" s="25">
        <f t="shared" si="13"/>
        <v>2737</v>
      </c>
      <c r="E47" s="22">
        <f t="shared" si="5"/>
        <v>476</v>
      </c>
      <c r="F47" s="8">
        <f t="shared" si="6"/>
        <v>476</v>
      </c>
      <c r="G47" s="22">
        <f t="shared" si="7"/>
        <v>226576</v>
      </c>
      <c r="H47" s="8">
        <f t="shared" si="14"/>
        <v>2156.1428571428573</v>
      </c>
      <c r="I47" s="22">
        <f t="shared" si="15"/>
        <v>1056.8571428571427</v>
      </c>
      <c r="J47" s="8">
        <f t="shared" si="8"/>
        <v>1056.8571428571427</v>
      </c>
      <c r="K47" s="23">
        <f t="shared" si="9"/>
        <v>1116947.0204081628</v>
      </c>
      <c r="L47" s="8">
        <f t="shared" si="16"/>
        <v>2578.5333579492599</v>
      </c>
      <c r="M47" s="22">
        <f t="shared" si="17"/>
        <v>634.46664205074012</v>
      </c>
      <c r="N47" s="8">
        <f t="shared" si="10"/>
        <v>634.46664205074012</v>
      </c>
      <c r="O47" s="24">
        <f t="shared" si="11"/>
        <v>402547.91987514199</v>
      </c>
    </row>
    <row r="48" spans="1:15" ht="15.6" x14ac:dyDescent="0.3">
      <c r="A48" s="19">
        <v>45093</v>
      </c>
      <c r="B48" s="21">
        <v>2194</v>
      </c>
      <c r="C48" s="8">
        <f t="shared" si="4"/>
        <v>6</v>
      </c>
      <c r="D48" s="25">
        <f t="shared" si="13"/>
        <v>2329</v>
      </c>
      <c r="E48" s="22">
        <f t="shared" si="5"/>
        <v>-135</v>
      </c>
      <c r="F48" s="8">
        <f t="shared" si="6"/>
        <v>135</v>
      </c>
      <c r="G48" s="22">
        <f t="shared" si="7"/>
        <v>18225</v>
      </c>
      <c r="H48" s="8">
        <f t="shared" si="14"/>
        <v>1746.1428571428571</v>
      </c>
      <c r="I48" s="22">
        <f t="shared" si="15"/>
        <v>447.85714285714289</v>
      </c>
      <c r="J48" s="8">
        <f t="shared" si="8"/>
        <v>447.85714285714289</v>
      </c>
      <c r="K48" s="23">
        <f t="shared" si="9"/>
        <v>200576.02040816328</v>
      </c>
      <c r="L48" s="8">
        <f t="shared" si="16"/>
        <v>2163.5296697622916</v>
      </c>
      <c r="M48" s="22">
        <f t="shared" si="17"/>
        <v>30.470330237708367</v>
      </c>
      <c r="N48" s="8">
        <f t="shared" si="10"/>
        <v>30.470330237708367</v>
      </c>
      <c r="O48" s="24">
        <f t="shared" si="11"/>
        <v>928.44102479500486</v>
      </c>
    </row>
    <row r="49" spans="1:15" ht="15.6" x14ac:dyDescent="0.3">
      <c r="A49" s="19">
        <v>45094</v>
      </c>
      <c r="B49" s="21">
        <v>1780</v>
      </c>
      <c r="C49" s="8">
        <f t="shared" si="4"/>
        <v>7</v>
      </c>
      <c r="D49" s="25">
        <f t="shared" si="13"/>
        <v>1540</v>
      </c>
      <c r="E49" s="22">
        <f t="shared" si="5"/>
        <v>240</v>
      </c>
      <c r="F49" s="8">
        <f t="shared" si="6"/>
        <v>240</v>
      </c>
      <c r="G49" s="22">
        <f t="shared" si="7"/>
        <v>57600</v>
      </c>
      <c r="H49" s="8">
        <f t="shared" si="14"/>
        <v>1250</v>
      </c>
      <c r="I49" s="22">
        <f t="shared" si="15"/>
        <v>530</v>
      </c>
      <c r="J49" s="8">
        <f t="shared" si="8"/>
        <v>530</v>
      </c>
      <c r="K49" s="23">
        <f t="shared" si="9"/>
        <v>280900</v>
      </c>
      <c r="L49" s="8">
        <f t="shared" si="16"/>
        <v>1712.4204334445853</v>
      </c>
      <c r="M49" s="22">
        <f t="shared" si="17"/>
        <v>67.579566555414658</v>
      </c>
      <c r="N49" s="8">
        <f t="shared" si="10"/>
        <v>67.579566555414658</v>
      </c>
      <c r="O49" s="24">
        <f t="shared" si="11"/>
        <v>4566.9978158177191</v>
      </c>
    </row>
    <row r="50" spans="1:15" ht="15.6" x14ac:dyDescent="0.3">
      <c r="A50" s="19">
        <v>45095</v>
      </c>
      <c r="B50" s="21">
        <v>1408</v>
      </c>
      <c r="C50" s="8">
        <f t="shared" si="4"/>
        <v>1</v>
      </c>
      <c r="D50" s="25">
        <f t="shared" si="13"/>
        <v>1787</v>
      </c>
      <c r="E50" s="22">
        <f t="shared" si="5"/>
        <v>-379</v>
      </c>
      <c r="F50" s="8">
        <f t="shared" si="6"/>
        <v>379</v>
      </c>
      <c r="G50" s="22">
        <f t="shared" si="7"/>
        <v>143641</v>
      </c>
      <c r="H50" s="8">
        <f t="shared" si="14"/>
        <v>1194.2857142857142</v>
      </c>
      <c r="I50" s="22">
        <f t="shared" si="15"/>
        <v>213.71428571428578</v>
      </c>
      <c r="J50" s="8">
        <f t="shared" si="8"/>
        <v>213.71428571428578</v>
      </c>
      <c r="K50" s="23">
        <f t="shared" si="9"/>
        <v>45673.795918367374</v>
      </c>
      <c r="L50" s="8">
        <f t="shared" si="16"/>
        <v>1657.2231185738237</v>
      </c>
      <c r="M50" s="22">
        <f t="shared" si="17"/>
        <v>-249.22311857382374</v>
      </c>
      <c r="N50" s="8">
        <f t="shared" si="10"/>
        <v>249.22311857382374</v>
      </c>
      <c r="O50" s="24">
        <f t="shared" si="11"/>
        <v>62112.162831662208</v>
      </c>
    </row>
    <row r="51" spans="1:15" ht="15.6" x14ac:dyDescent="0.3">
      <c r="A51" s="19">
        <v>45096</v>
      </c>
      <c r="B51" s="21">
        <v>2920</v>
      </c>
      <c r="C51" s="8">
        <f t="shared" si="4"/>
        <v>2</v>
      </c>
      <c r="D51" s="26">
        <f>B44</f>
        <v>3102</v>
      </c>
      <c r="E51" s="22">
        <f t="shared" si="5"/>
        <v>-182</v>
      </c>
      <c r="F51" s="8">
        <f t="shared" si="6"/>
        <v>182</v>
      </c>
      <c r="G51" s="22">
        <f t="shared" si="7"/>
        <v>33124</v>
      </c>
      <c r="H51" s="8">
        <f t="shared" si="14"/>
        <v>2154.2857142857142</v>
      </c>
      <c r="I51" s="22">
        <f t="shared" si="15"/>
        <v>765.71428571428578</v>
      </c>
      <c r="J51" s="8">
        <f t="shared" si="8"/>
        <v>765.71428571428578</v>
      </c>
      <c r="K51" s="23">
        <f t="shared" si="9"/>
        <v>586318.36734693893</v>
      </c>
      <c r="L51" s="8">
        <f t="shared" si="16"/>
        <v>2733.7970474377321</v>
      </c>
      <c r="M51" s="22">
        <f t="shared" si="17"/>
        <v>186.20295256226791</v>
      </c>
      <c r="N51" s="8">
        <f t="shared" si="10"/>
        <v>186.20295256226791</v>
      </c>
      <c r="O51" s="24">
        <f t="shared" si="11"/>
        <v>34671.539542906197</v>
      </c>
    </row>
    <row r="52" spans="1:15" ht="15.6" x14ac:dyDescent="0.3">
      <c r="A52" s="19">
        <v>45097</v>
      </c>
      <c r="B52" s="21">
        <v>2647</v>
      </c>
      <c r="C52" s="8">
        <f t="shared" si="4"/>
        <v>3</v>
      </c>
      <c r="D52" s="26">
        <f t="shared" ref="D52:D57" si="18">B45</f>
        <v>2403</v>
      </c>
      <c r="E52" s="22">
        <f t="shared" si="5"/>
        <v>244</v>
      </c>
      <c r="F52" s="8">
        <f t="shared" si="6"/>
        <v>244</v>
      </c>
      <c r="G52" s="22">
        <f t="shared" si="7"/>
        <v>59536</v>
      </c>
      <c r="H52" s="8">
        <f t="shared" si="14"/>
        <v>2160.2857142857142</v>
      </c>
      <c r="I52" s="22">
        <f t="shared" si="15"/>
        <v>486.71428571428578</v>
      </c>
      <c r="J52" s="8">
        <f t="shared" si="8"/>
        <v>486.71428571428578</v>
      </c>
      <c r="K52" s="23">
        <f t="shared" si="9"/>
        <v>236890.7959183674</v>
      </c>
      <c r="L52" s="8">
        <f t="shared" si="16"/>
        <v>2707.3063276858697</v>
      </c>
      <c r="M52" s="22">
        <f t="shared" si="17"/>
        <v>-60.306327685869746</v>
      </c>
      <c r="N52" s="8">
        <f t="shared" si="10"/>
        <v>60.306327685869746</v>
      </c>
      <c r="O52" s="24">
        <f t="shared" si="11"/>
        <v>3636.8531589555</v>
      </c>
    </row>
    <row r="53" spans="1:15" ht="15.6" x14ac:dyDescent="0.3">
      <c r="A53" s="19">
        <v>45098</v>
      </c>
      <c r="B53" s="21">
        <v>3020</v>
      </c>
      <c r="C53" s="8">
        <f t="shared" si="4"/>
        <v>4</v>
      </c>
      <c r="D53" s="26">
        <f t="shared" si="18"/>
        <v>2927</v>
      </c>
      <c r="E53" s="22">
        <f t="shared" si="5"/>
        <v>93</v>
      </c>
      <c r="F53" s="8">
        <f t="shared" si="6"/>
        <v>93</v>
      </c>
      <c r="G53" s="22">
        <f t="shared" si="7"/>
        <v>8649</v>
      </c>
      <c r="H53" s="8">
        <f t="shared" si="14"/>
        <v>2247.7142857142858</v>
      </c>
      <c r="I53" s="22">
        <f t="shared" si="15"/>
        <v>772.28571428571422</v>
      </c>
      <c r="J53" s="8">
        <f t="shared" si="8"/>
        <v>772.28571428571422</v>
      </c>
      <c r="K53" s="23">
        <f t="shared" si="9"/>
        <v>596425.22448979586</v>
      </c>
      <c r="L53" s="8">
        <f t="shared" si="16"/>
        <v>2802.0659973370789</v>
      </c>
      <c r="M53" s="22">
        <f t="shared" si="17"/>
        <v>217.9340026629211</v>
      </c>
      <c r="N53" s="8">
        <f t="shared" si="10"/>
        <v>217.9340026629211</v>
      </c>
      <c r="O53" s="24">
        <f t="shared" si="11"/>
        <v>47495.229516682099</v>
      </c>
    </row>
    <row r="54" spans="1:15" ht="15.6" x14ac:dyDescent="0.3">
      <c r="A54" s="19">
        <v>45099</v>
      </c>
      <c r="B54" s="21">
        <v>2338</v>
      </c>
      <c r="C54" s="8">
        <f t="shared" si="4"/>
        <v>5</v>
      </c>
      <c r="D54" s="26">
        <f t="shared" si="18"/>
        <v>3213</v>
      </c>
      <c r="E54" s="22">
        <f t="shared" si="5"/>
        <v>-875</v>
      </c>
      <c r="F54" s="8">
        <f t="shared" si="6"/>
        <v>875</v>
      </c>
      <c r="G54" s="22">
        <f t="shared" si="7"/>
        <v>765625</v>
      </c>
      <c r="H54" s="8">
        <f t="shared" si="14"/>
        <v>2156.1428571428573</v>
      </c>
      <c r="I54" s="22">
        <f t="shared" si="15"/>
        <v>181.85714285714266</v>
      </c>
      <c r="J54" s="8">
        <f t="shared" si="8"/>
        <v>181.85714285714266</v>
      </c>
      <c r="K54" s="23">
        <f t="shared" si="9"/>
        <v>33072.020408163196</v>
      </c>
      <c r="L54" s="8">
        <f t="shared" si="16"/>
        <v>2735.1941898326668</v>
      </c>
      <c r="M54" s="22">
        <f t="shared" si="17"/>
        <v>-397.19418983266678</v>
      </c>
      <c r="N54" s="8">
        <f t="shared" si="10"/>
        <v>397.19418983266678</v>
      </c>
      <c r="O54" s="24">
        <f t="shared" si="11"/>
        <v>157763.22443682855</v>
      </c>
    </row>
    <row r="55" spans="1:15" ht="15.6" x14ac:dyDescent="0.3">
      <c r="A55" s="19">
        <v>45100</v>
      </c>
      <c r="B55" s="21">
        <v>2950</v>
      </c>
      <c r="C55" s="8">
        <f t="shared" si="4"/>
        <v>6</v>
      </c>
      <c r="D55" s="26">
        <f t="shared" si="18"/>
        <v>2194</v>
      </c>
      <c r="E55" s="22">
        <f t="shared" si="5"/>
        <v>756</v>
      </c>
      <c r="F55" s="8">
        <f t="shared" si="6"/>
        <v>756</v>
      </c>
      <c r="G55" s="22">
        <f t="shared" si="7"/>
        <v>571536</v>
      </c>
      <c r="H55" s="8">
        <f t="shared" si="14"/>
        <v>1746.1428571428571</v>
      </c>
      <c r="I55" s="22">
        <f t="shared" si="15"/>
        <v>1203.8571428571429</v>
      </c>
      <c r="J55" s="8">
        <f t="shared" si="8"/>
        <v>1203.8571428571429</v>
      </c>
      <c r="K55" s="23">
        <f t="shared" si="9"/>
        <v>1449272.0204081633</v>
      </c>
      <c r="L55" s="8">
        <f t="shared" si="16"/>
        <v>2320.190501645699</v>
      </c>
      <c r="M55" s="22">
        <f t="shared" si="17"/>
        <v>629.80949835430101</v>
      </c>
      <c r="N55" s="8">
        <f t="shared" si="10"/>
        <v>629.80949835430101</v>
      </c>
      <c r="O55" s="24">
        <f t="shared" si="11"/>
        <v>396660.00421729631</v>
      </c>
    </row>
    <row r="56" spans="1:15" ht="15.6" x14ac:dyDescent="0.3">
      <c r="A56" s="19">
        <v>45101</v>
      </c>
      <c r="B56" s="21">
        <v>1601</v>
      </c>
      <c r="C56" s="8">
        <f t="shared" si="4"/>
        <v>7</v>
      </c>
      <c r="D56" s="26">
        <f t="shared" si="18"/>
        <v>1780</v>
      </c>
      <c r="E56" s="22">
        <f t="shared" si="5"/>
        <v>-179</v>
      </c>
      <c r="F56" s="8">
        <f t="shared" si="6"/>
        <v>179</v>
      </c>
      <c r="G56" s="22">
        <f t="shared" si="7"/>
        <v>32041</v>
      </c>
      <c r="H56" s="8">
        <f t="shared" si="14"/>
        <v>1250</v>
      </c>
      <c r="I56" s="22">
        <f t="shared" si="15"/>
        <v>351</v>
      </c>
      <c r="J56" s="8">
        <f t="shared" si="8"/>
        <v>351</v>
      </c>
      <c r="K56" s="23">
        <f t="shared" si="9"/>
        <v>123201</v>
      </c>
      <c r="L56" s="8">
        <f t="shared" si="16"/>
        <v>1869.0812653279927</v>
      </c>
      <c r="M56" s="22">
        <f t="shared" si="17"/>
        <v>-268.0812653279927</v>
      </c>
      <c r="N56" s="8">
        <f t="shared" si="10"/>
        <v>268.0812653279927</v>
      </c>
      <c r="O56" s="24">
        <f t="shared" si="11"/>
        <v>71867.564819857624</v>
      </c>
    </row>
    <row r="57" spans="1:15" ht="15.6" x14ac:dyDescent="0.3">
      <c r="A57" s="19">
        <v>45102</v>
      </c>
      <c r="B57" s="21">
        <v>1615</v>
      </c>
      <c r="C57" s="8">
        <f t="shared" si="4"/>
        <v>1</v>
      </c>
      <c r="D57" s="26">
        <f t="shared" si="18"/>
        <v>1408</v>
      </c>
      <c r="E57" s="22">
        <f t="shared" si="5"/>
        <v>207</v>
      </c>
      <c r="F57" s="8">
        <f t="shared" si="6"/>
        <v>207</v>
      </c>
      <c r="G57" s="22">
        <f t="shared" si="7"/>
        <v>42849</v>
      </c>
      <c r="H57" s="8">
        <f t="shared" si="14"/>
        <v>1194.2857142857142</v>
      </c>
      <c r="I57" s="22">
        <f t="shared" si="15"/>
        <v>420.71428571428578</v>
      </c>
      <c r="J57" s="8">
        <f t="shared" si="8"/>
        <v>420.71428571428578</v>
      </c>
      <c r="K57" s="23">
        <f t="shared" si="9"/>
        <v>177000.51020408169</v>
      </c>
      <c r="L57" s="8">
        <f t="shared" si="16"/>
        <v>1813.8839504572311</v>
      </c>
      <c r="M57" s="22">
        <f t="shared" si="17"/>
        <v>-198.88395045723109</v>
      </c>
      <c r="N57" s="8">
        <f t="shared" si="10"/>
        <v>198.88395045723109</v>
      </c>
      <c r="O57" s="24">
        <f t="shared" si="11"/>
        <v>39554.825749474352</v>
      </c>
    </row>
    <row r="63" spans="1:15" ht="40.200000000000003" x14ac:dyDescent="0.3">
      <c r="D63" s="37" t="s">
        <v>71</v>
      </c>
      <c r="E63" s="37" t="s">
        <v>72</v>
      </c>
      <c r="F63" s="37" t="s">
        <v>73</v>
      </c>
      <c r="G63" s="37" t="s">
        <v>74</v>
      </c>
      <c r="H63" s="37" t="s">
        <v>75</v>
      </c>
      <c r="I63" s="37" t="s">
        <v>76</v>
      </c>
      <c r="J63" s="38" t="s">
        <v>77</v>
      </c>
    </row>
    <row r="64" spans="1:15" x14ac:dyDescent="0.3">
      <c r="D64" s="37" t="s">
        <v>78</v>
      </c>
      <c r="E64" s="36">
        <f>AVERAGE(E2:E50)</f>
        <v>347.48979591836735</v>
      </c>
      <c r="F64" s="36">
        <f>AVERAGE(E51:E57)</f>
        <v>9.1428571428571423</v>
      </c>
      <c r="G64" s="36">
        <f>AVERAGE(I2:I50)</f>
        <v>1.1600697726695513E-13</v>
      </c>
      <c r="H64" s="22">
        <f>AVERAGE(I51:I57)</f>
        <v>597.44897959183675</v>
      </c>
      <c r="I64" s="22">
        <f>AVERAGE(M2:M50)</f>
        <v>44.834450838325019</v>
      </c>
      <c r="J64" s="22">
        <f>AVERAGE(M51:M57)</f>
        <v>15.640102896532815</v>
      </c>
    </row>
    <row r="65" spans="4:10" x14ac:dyDescent="0.3">
      <c r="D65" s="37" t="s">
        <v>79</v>
      </c>
      <c r="E65" s="34">
        <f>AVERAGE(F2:F50)</f>
        <v>478.30612244897958</v>
      </c>
      <c r="F65" s="34">
        <f>AVERAGE(F51:F57)</f>
        <v>362.28571428571428</v>
      </c>
      <c r="G65" s="34">
        <f>AVERAGE(J2:J50)</f>
        <v>355.6559766763848</v>
      </c>
      <c r="H65" s="23">
        <f>AVERAGE(K51:K57)</f>
        <v>457454.27696793008</v>
      </c>
      <c r="I65" s="8">
        <f>AVERAGE(N2:N50)</f>
        <v>243.79870727033014</v>
      </c>
      <c r="J65" s="8">
        <f>AVERAGE(N51:N57)</f>
        <v>279.77316955475004</v>
      </c>
    </row>
    <row r="66" spans="4:10" x14ac:dyDescent="0.3">
      <c r="D66" s="37" t="s">
        <v>80</v>
      </c>
      <c r="E66" s="34">
        <f>SQRT(AVERAGE(G2:G50))</f>
        <v>735.29484576194443</v>
      </c>
      <c r="F66" s="34">
        <f>SQRT(AVERAGE(G51:G57))</f>
        <v>464.96697271342373</v>
      </c>
      <c r="G66" s="34">
        <f>SQRT(AVERAGE(K2:K50))</f>
        <v>424.15893797575814</v>
      </c>
      <c r="H66" s="8">
        <f>SQRT(AVERAGE(K51:K57))</f>
        <v>676.35366264102549</v>
      </c>
      <c r="I66" s="8">
        <f>SQRT(AVERAGE(O2:O50))</f>
        <v>308.22773193682872</v>
      </c>
      <c r="J66" s="8">
        <f>SQRT(AVERAGE(O51:O57))</f>
        <v>327.68653170849569</v>
      </c>
    </row>
    <row r="67" spans="4:10" ht="15" thickBot="1" x14ac:dyDescent="0.35">
      <c r="E67" s="33"/>
      <c r="F67" s="33"/>
      <c r="G67" s="33"/>
    </row>
    <row r="68" spans="4:10" ht="15" thickBot="1" x14ac:dyDescent="0.35">
      <c r="E68" s="32"/>
      <c r="F68" s="32"/>
      <c r="G68" s="32"/>
    </row>
  </sheetData>
  <mergeCells count="1">
    <mergeCell ref="R1:T1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8C48E-AF81-481F-8885-16D28C30BA2F}">
  <sheetPr codeName="Sheet4"/>
  <dimension ref="A1:AH11"/>
  <sheetViews>
    <sheetView topLeftCell="Q1" workbookViewId="0">
      <selection activeCell="V22" sqref="V22"/>
    </sheetView>
  </sheetViews>
  <sheetFormatPr defaultRowHeight="14.4" x14ac:dyDescent="0.3"/>
  <cols>
    <col min="1" max="1" width="4.109375" bestFit="1" customWidth="1"/>
    <col min="2" max="2" width="10.33203125" bestFit="1" customWidth="1"/>
    <col min="3" max="3" width="12.6640625" bestFit="1" customWidth="1"/>
    <col min="4" max="4" width="8.77734375" bestFit="1" customWidth="1"/>
    <col min="5" max="5" width="17.33203125" bestFit="1" customWidth="1"/>
    <col min="6" max="6" width="15.88671875" bestFit="1" customWidth="1"/>
    <col min="7" max="7" width="17" bestFit="1" customWidth="1"/>
    <col min="8" max="8" width="10.5546875" bestFit="1" customWidth="1"/>
    <col min="9" max="9" width="19.109375" bestFit="1" customWidth="1"/>
    <col min="10" max="10" width="16.6640625" bestFit="1" customWidth="1"/>
    <col min="11" max="11" width="18.6640625" bestFit="1" customWidth="1"/>
    <col min="12" max="12" width="17" bestFit="1" customWidth="1"/>
    <col min="13" max="13" width="22.6640625" bestFit="1" customWidth="1"/>
    <col min="14" max="14" width="14.6640625" bestFit="1" customWidth="1"/>
    <col min="15" max="15" width="17.21875" bestFit="1" customWidth="1"/>
    <col min="16" max="16" width="20.109375" bestFit="1" customWidth="1"/>
    <col min="17" max="17" width="20.5546875" bestFit="1" customWidth="1"/>
    <col min="18" max="18" width="12.77734375" bestFit="1" customWidth="1"/>
    <col min="19" max="19" width="16" bestFit="1" customWidth="1"/>
    <col min="20" max="20" width="22.88671875" bestFit="1" customWidth="1"/>
    <col min="21" max="21" width="19.109375" bestFit="1" customWidth="1"/>
    <col min="22" max="22" width="11.21875" bestFit="1" customWidth="1"/>
    <col min="23" max="23" width="12.109375" bestFit="1" customWidth="1"/>
    <col min="24" max="24" width="16.21875" bestFit="1" customWidth="1"/>
    <col min="25" max="25" width="13.88671875" bestFit="1" customWidth="1"/>
    <col min="27" max="27" width="19.44140625" bestFit="1" customWidth="1"/>
    <col min="28" max="28" width="20.33203125" bestFit="1" customWidth="1"/>
    <col min="30" max="30" width="19.44140625" bestFit="1" customWidth="1"/>
    <col min="31" max="31" width="15.21875" bestFit="1" customWidth="1"/>
    <col min="33" max="33" width="22.6640625" bestFit="1" customWidth="1"/>
    <col min="34" max="34" width="4" bestFit="1" customWidth="1"/>
  </cols>
  <sheetData>
    <row r="1" spans="1:34" ht="13.2" customHeight="1" x14ac:dyDescent="0.3">
      <c r="A1" s="29" t="s">
        <v>3</v>
      </c>
      <c r="B1" s="29" t="s">
        <v>1</v>
      </c>
      <c r="C1" s="29" t="s">
        <v>44</v>
      </c>
      <c r="D1" s="29" t="s">
        <v>45</v>
      </c>
      <c r="E1" s="29" t="s">
        <v>46</v>
      </c>
      <c r="F1" s="29" t="s">
        <v>47</v>
      </c>
      <c r="G1" s="29" t="s">
        <v>48</v>
      </c>
      <c r="H1" s="29" t="s">
        <v>49</v>
      </c>
      <c r="I1" s="29" t="s">
        <v>50</v>
      </c>
      <c r="J1" s="29" t="s">
        <v>51</v>
      </c>
      <c r="K1" s="29" t="s">
        <v>52</v>
      </c>
      <c r="L1" s="29" t="s">
        <v>53</v>
      </c>
      <c r="M1" s="29" t="s">
        <v>54</v>
      </c>
      <c r="N1" s="29" t="s">
        <v>55</v>
      </c>
      <c r="O1" s="29" t="s">
        <v>56</v>
      </c>
      <c r="P1" s="29" t="s">
        <v>57</v>
      </c>
      <c r="Q1" s="29" t="s">
        <v>58</v>
      </c>
      <c r="R1" s="29" t="s">
        <v>59</v>
      </c>
      <c r="S1" s="29" t="s">
        <v>60</v>
      </c>
      <c r="T1" s="29" t="s">
        <v>61</v>
      </c>
      <c r="U1" s="29" t="s">
        <v>69</v>
      </c>
      <c r="V1" s="29" t="s">
        <v>63</v>
      </c>
      <c r="W1" s="29" t="s">
        <v>62</v>
      </c>
      <c r="X1" s="29" t="s">
        <v>64</v>
      </c>
      <c r="Y1" s="29" t="s">
        <v>65</v>
      </c>
      <c r="AG1" s="29" t="s">
        <v>42</v>
      </c>
      <c r="AH1" s="8">
        <v>10</v>
      </c>
    </row>
    <row r="2" spans="1:34" ht="13.2" customHeight="1" x14ac:dyDescent="0.3">
      <c r="A2" s="8">
        <v>1</v>
      </c>
      <c r="B2" s="31">
        <v>45658</v>
      </c>
      <c r="C2">
        <v>0.27552110354930265</v>
      </c>
      <c r="D2" s="8">
        <f>LOOKUP(C2, $AA$4:$AA$8, $AB$4:$AB$8)</f>
        <v>1</v>
      </c>
      <c r="E2">
        <v>5.0569170201727347E-2</v>
      </c>
      <c r="F2" s="8">
        <f>IF(E2&lt;&gt;"", LOOKUP(E2, $AD$4:$AD$8, $AE$4:$AE$8), "")</f>
        <v>2</v>
      </c>
      <c r="G2" s="8">
        <f>IF(F2="", 0, D2*F2)</f>
        <v>2</v>
      </c>
      <c r="H2" s="8">
        <f>AH$1</f>
        <v>10</v>
      </c>
      <c r="I2" s="8">
        <v>0</v>
      </c>
      <c r="J2" s="8">
        <f>H2+I2</f>
        <v>10</v>
      </c>
      <c r="K2" s="8">
        <v>0</v>
      </c>
      <c r="L2" s="8">
        <f>MIN(K2, J2)</f>
        <v>0</v>
      </c>
      <c r="M2" s="8">
        <f>J2 - L2</f>
        <v>10</v>
      </c>
      <c r="N2" s="8">
        <f>MIN(G2, M2)</f>
        <v>2</v>
      </c>
      <c r="O2" s="8">
        <f>MAX(0, G2 - M2)</f>
        <v>0</v>
      </c>
      <c r="P2" s="8">
        <f>K2 - L2 + O2</f>
        <v>0</v>
      </c>
      <c r="Q2" s="8">
        <f>M2 - N2</f>
        <v>8</v>
      </c>
      <c r="R2" s="8" t="str">
        <f>IF(Q2&lt;=2, "Yes", "No")</f>
        <v>No</v>
      </c>
      <c r="S2" s="8">
        <f>IF(R2="Yes", AH$2, 0)</f>
        <v>0</v>
      </c>
      <c r="T2" s="8">
        <f>S2</f>
        <v>0</v>
      </c>
      <c r="U2" s="8">
        <f>Q2</f>
        <v>8</v>
      </c>
      <c r="V2" s="8">
        <f>U2 * AH$3</f>
        <v>80</v>
      </c>
      <c r="W2" s="8">
        <f>IF(S2&gt;0, AH$4, 0)</f>
        <v>0</v>
      </c>
      <c r="X2" s="8">
        <f>P2 * AH$5</f>
        <v>0</v>
      </c>
      <c r="Y2" s="8">
        <f>V2 + W2 + X2</f>
        <v>80</v>
      </c>
      <c r="AA2" s="39" t="s">
        <v>40</v>
      </c>
      <c r="AB2" s="29"/>
      <c r="AD2" s="39" t="s">
        <v>41</v>
      </c>
      <c r="AE2" s="29"/>
      <c r="AG2" s="29" t="s">
        <v>43</v>
      </c>
      <c r="AH2" s="8">
        <v>10</v>
      </c>
    </row>
    <row r="3" spans="1:34" x14ac:dyDescent="0.3">
      <c r="A3" s="8">
        <f>A2+1</f>
        <v>2</v>
      </c>
      <c r="B3" s="31">
        <f>B2+1</f>
        <v>45659</v>
      </c>
      <c r="C3">
        <v>0.26178777428510391</v>
      </c>
      <c r="D3" s="8">
        <f t="shared" ref="D3:D8" si="0">LOOKUP(C3, $AA$4:$AA$8, $AB$4:$AB$8)</f>
        <v>1</v>
      </c>
      <c r="E3">
        <v>0.53840754417554249</v>
      </c>
      <c r="F3" s="8">
        <f t="shared" ref="F3:F8" si="1">IF(E3&lt;&gt;"", LOOKUP(E3, $AD$4:$AD$8, $AE$4:$AE$8), "")</f>
        <v>2</v>
      </c>
      <c r="G3" s="8">
        <f t="shared" ref="G3:G8" si="2">IF(F3="", 0, D3*F3)</f>
        <v>2</v>
      </c>
      <c r="H3" s="8">
        <f>U2</f>
        <v>8</v>
      </c>
      <c r="I3" s="8">
        <f>T2</f>
        <v>0</v>
      </c>
      <c r="J3" s="8">
        <f>H3+I3</f>
        <v>8</v>
      </c>
      <c r="K3" s="8">
        <f>P2</f>
        <v>0</v>
      </c>
      <c r="L3" s="8">
        <f>MIN(K3, J3)</f>
        <v>0</v>
      </c>
      <c r="M3" s="8">
        <f>J3 - L3</f>
        <v>8</v>
      </c>
      <c r="N3" s="8">
        <f>MIN(G3, M3)</f>
        <v>2</v>
      </c>
      <c r="O3" s="8">
        <f>MAX(0, G3 - M3)</f>
        <v>0</v>
      </c>
      <c r="P3" s="8">
        <f>K3 - L3 + O3</f>
        <v>0</v>
      </c>
      <c r="Q3" s="8">
        <f>M3 - N3</f>
        <v>6</v>
      </c>
      <c r="R3" s="8" t="str">
        <f>IF(Q3&lt;=2, "Yes", "No")</f>
        <v>No</v>
      </c>
      <c r="S3" s="8">
        <f>IF(R3="Yes", AH$2, 0)</f>
        <v>0</v>
      </c>
      <c r="T3" s="8">
        <f>S3</f>
        <v>0</v>
      </c>
      <c r="U3" s="8">
        <f>Q3</f>
        <v>6</v>
      </c>
      <c r="V3" s="8">
        <f>U3 * AH$3</f>
        <v>60</v>
      </c>
      <c r="W3" s="8">
        <f>IF(S3&gt;0, AH$4, 0)</f>
        <v>0</v>
      </c>
      <c r="X3" s="8">
        <f>P3 * AH$5</f>
        <v>0</v>
      </c>
      <c r="Y3" s="8">
        <f>V3 + W3 + X3</f>
        <v>60</v>
      </c>
      <c r="AA3" s="29" t="s">
        <v>37</v>
      </c>
      <c r="AB3" s="29" t="s">
        <v>36</v>
      </c>
      <c r="AD3" s="29" t="s">
        <v>38</v>
      </c>
      <c r="AE3" s="29" t="s">
        <v>39</v>
      </c>
      <c r="AG3" s="29" t="s">
        <v>66</v>
      </c>
      <c r="AH3" s="8">
        <v>10</v>
      </c>
    </row>
    <row r="4" spans="1:34" x14ac:dyDescent="0.3">
      <c r="A4" s="8">
        <f t="shared" ref="A4:A8" si="3">A3+1</f>
        <v>3</v>
      </c>
      <c r="B4" s="31">
        <f t="shared" ref="B4:B8" si="4">B3+1</f>
        <v>45660</v>
      </c>
      <c r="C4">
        <v>0.50459303567613756</v>
      </c>
      <c r="D4" s="8">
        <f t="shared" si="0"/>
        <v>2</v>
      </c>
      <c r="E4">
        <v>0.40498062074648272</v>
      </c>
      <c r="F4" s="8">
        <f t="shared" si="1"/>
        <v>2</v>
      </c>
      <c r="G4" s="8">
        <f t="shared" si="2"/>
        <v>4</v>
      </c>
      <c r="H4" s="8">
        <f t="shared" ref="H4:H8" si="5">U3</f>
        <v>6</v>
      </c>
      <c r="I4" s="8">
        <f t="shared" ref="I4:I8" si="6">T3</f>
        <v>0</v>
      </c>
      <c r="J4" s="8">
        <f t="shared" ref="J4:J8" si="7">H4+I4</f>
        <v>6</v>
      </c>
      <c r="K4" s="8">
        <f t="shared" ref="K4:K8" si="8">P3</f>
        <v>0</v>
      </c>
      <c r="L4" s="8">
        <f t="shared" ref="L4:L8" si="9">MIN(K4, J4)</f>
        <v>0</v>
      </c>
      <c r="M4" s="8">
        <f t="shared" ref="M4:M8" si="10">J4 - L4</f>
        <v>6</v>
      </c>
      <c r="N4" s="8">
        <f t="shared" ref="N4:N8" si="11">MIN(G4, M4)</f>
        <v>4</v>
      </c>
      <c r="O4" s="8">
        <f t="shared" ref="O4:O8" si="12">MAX(0, G4 - M4)</f>
        <v>0</v>
      </c>
      <c r="P4" s="8">
        <f t="shared" ref="P4:P8" si="13">K4 - L4 + O4</f>
        <v>0</v>
      </c>
      <c r="Q4" s="8">
        <f t="shared" ref="Q4:Q8" si="14">M4 - N4</f>
        <v>2</v>
      </c>
      <c r="R4" s="8" t="str">
        <f t="shared" ref="R4:R8" si="15">IF(Q4&lt;=2, "Yes", "No")</f>
        <v>Yes</v>
      </c>
      <c r="S4" s="8">
        <f t="shared" ref="S4:S8" si="16">IF(R4="Yes", AH$2, 0)</f>
        <v>10</v>
      </c>
      <c r="T4" s="8">
        <f t="shared" ref="T4:T8" si="17">S4</f>
        <v>10</v>
      </c>
      <c r="U4" s="8">
        <f t="shared" ref="U4:U8" si="18">Q4</f>
        <v>2</v>
      </c>
      <c r="V4" s="8">
        <f t="shared" ref="V4:V8" si="19">U4 * AH$3</f>
        <v>20</v>
      </c>
      <c r="W4" s="8">
        <f t="shared" ref="W4:W8" si="20">IF(S4&gt;0, AH$4, 0)</f>
        <v>500</v>
      </c>
      <c r="X4" s="8">
        <f t="shared" ref="X4:X8" si="21">P4 * AH$5</f>
        <v>0</v>
      </c>
      <c r="Y4" s="8">
        <f t="shared" ref="Y4:Y8" si="22">V4 + W4 + X4</f>
        <v>520</v>
      </c>
      <c r="AA4" s="8">
        <v>0.05</v>
      </c>
      <c r="AB4" s="8">
        <v>0</v>
      </c>
      <c r="AD4" s="8">
        <v>0</v>
      </c>
      <c r="AE4" s="8">
        <v>2</v>
      </c>
      <c r="AG4" s="40" t="s">
        <v>67</v>
      </c>
      <c r="AH4" s="30">
        <v>500</v>
      </c>
    </row>
    <row r="5" spans="1:34" x14ac:dyDescent="0.3">
      <c r="A5" s="8">
        <f t="shared" si="3"/>
        <v>4</v>
      </c>
      <c r="B5" s="31">
        <f t="shared" si="4"/>
        <v>45661</v>
      </c>
      <c r="C5">
        <v>0.75109103671376687</v>
      </c>
      <c r="D5" s="8">
        <f t="shared" si="0"/>
        <v>2</v>
      </c>
      <c r="E5">
        <v>0.75231177709280683</v>
      </c>
      <c r="F5" s="8">
        <f t="shared" si="1"/>
        <v>3</v>
      </c>
      <c r="G5" s="8">
        <f t="shared" si="2"/>
        <v>6</v>
      </c>
      <c r="H5" s="8">
        <f t="shared" si="5"/>
        <v>2</v>
      </c>
      <c r="I5" s="8">
        <f t="shared" si="6"/>
        <v>10</v>
      </c>
      <c r="J5" s="8">
        <f t="shared" si="7"/>
        <v>12</v>
      </c>
      <c r="K5" s="8">
        <f t="shared" si="8"/>
        <v>0</v>
      </c>
      <c r="L5" s="8">
        <f t="shared" si="9"/>
        <v>0</v>
      </c>
      <c r="M5" s="8">
        <f t="shared" si="10"/>
        <v>12</v>
      </c>
      <c r="N5" s="8">
        <f t="shared" si="11"/>
        <v>6</v>
      </c>
      <c r="O5" s="8">
        <f t="shared" si="12"/>
        <v>0</v>
      </c>
      <c r="P5" s="8">
        <f t="shared" si="13"/>
        <v>0</v>
      </c>
      <c r="Q5" s="8">
        <f t="shared" si="14"/>
        <v>6</v>
      </c>
      <c r="R5" s="8" t="str">
        <f t="shared" si="15"/>
        <v>No</v>
      </c>
      <c r="S5" s="8">
        <f t="shared" si="16"/>
        <v>0</v>
      </c>
      <c r="T5" s="8">
        <f t="shared" si="17"/>
        <v>0</v>
      </c>
      <c r="U5" s="8">
        <f t="shared" si="18"/>
        <v>6</v>
      </c>
      <c r="V5" s="8">
        <f t="shared" si="19"/>
        <v>60</v>
      </c>
      <c r="W5" s="8">
        <f t="shared" si="20"/>
        <v>0</v>
      </c>
      <c r="X5" s="8">
        <f t="shared" si="21"/>
        <v>0</v>
      </c>
      <c r="Y5" s="8">
        <f t="shared" si="22"/>
        <v>60</v>
      </c>
      <c r="AA5" s="8">
        <v>0.15</v>
      </c>
      <c r="AB5" s="8">
        <v>1</v>
      </c>
      <c r="AD5" s="8">
        <v>0.5</v>
      </c>
      <c r="AE5" s="8">
        <v>2</v>
      </c>
      <c r="AG5" s="40" t="s">
        <v>68</v>
      </c>
      <c r="AH5" s="30">
        <v>20</v>
      </c>
    </row>
    <row r="6" spans="1:34" x14ac:dyDescent="0.3">
      <c r="A6" s="8">
        <f t="shared" si="3"/>
        <v>5</v>
      </c>
      <c r="B6" s="31">
        <f t="shared" si="4"/>
        <v>45662</v>
      </c>
      <c r="C6">
        <v>0.84810937833796196</v>
      </c>
      <c r="D6" s="8">
        <f t="shared" si="0"/>
        <v>3</v>
      </c>
      <c r="E6">
        <v>0.55815301980651266</v>
      </c>
      <c r="F6" s="8">
        <f t="shared" si="1"/>
        <v>2</v>
      </c>
      <c r="G6" s="8">
        <f t="shared" si="2"/>
        <v>6</v>
      </c>
      <c r="H6" s="8">
        <f t="shared" si="5"/>
        <v>6</v>
      </c>
      <c r="I6" s="8">
        <f t="shared" si="6"/>
        <v>0</v>
      </c>
      <c r="J6" s="8">
        <f t="shared" si="7"/>
        <v>6</v>
      </c>
      <c r="K6" s="8">
        <f t="shared" si="8"/>
        <v>0</v>
      </c>
      <c r="L6" s="8">
        <f t="shared" si="9"/>
        <v>0</v>
      </c>
      <c r="M6" s="8">
        <f t="shared" si="10"/>
        <v>6</v>
      </c>
      <c r="N6" s="8">
        <f t="shared" si="11"/>
        <v>6</v>
      </c>
      <c r="O6" s="8">
        <f t="shared" si="12"/>
        <v>0</v>
      </c>
      <c r="P6" s="8">
        <f t="shared" si="13"/>
        <v>0</v>
      </c>
      <c r="Q6" s="8">
        <f t="shared" si="14"/>
        <v>0</v>
      </c>
      <c r="R6" s="8" t="str">
        <f t="shared" si="15"/>
        <v>Yes</v>
      </c>
      <c r="S6" s="8">
        <f t="shared" si="16"/>
        <v>10</v>
      </c>
      <c r="T6" s="8">
        <f t="shared" si="17"/>
        <v>10</v>
      </c>
      <c r="U6" s="8">
        <f t="shared" si="18"/>
        <v>0</v>
      </c>
      <c r="V6" s="8">
        <f t="shared" si="19"/>
        <v>0</v>
      </c>
      <c r="W6" s="8">
        <f t="shared" si="20"/>
        <v>500</v>
      </c>
      <c r="X6" s="8">
        <f t="shared" si="21"/>
        <v>0</v>
      </c>
      <c r="Y6" s="8">
        <f t="shared" si="22"/>
        <v>500</v>
      </c>
      <c r="AA6" s="8">
        <v>0.35</v>
      </c>
      <c r="AB6" s="8">
        <v>2</v>
      </c>
      <c r="AD6" s="8">
        <v>0.75</v>
      </c>
      <c r="AE6" s="8">
        <v>3</v>
      </c>
    </row>
    <row r="7" spans="1:34" x14ac:dyDescent="0.3">
      <c r="A7" s="8">
        <f t="shared" si="3"/>
        <v>6</v>
      </c>
      <c r="B7" s="31">
        <f t="shared" si="4"/>
        <v>45663</v>
      </c>
      <c r="C7">
        <v>0.26380199591051973</v>
      </c>
      <c r="D7" s="8">
        <f t="shared" si="0"/>
        <v>1</v>
      </c>
      <c r="E7">
        <v>3.012176885280923E-2</v>
      </c>
      <c r="F7" s="8">
        <f t="shared" si="1"/>
        <v>2</v>
      </c>
      <c r="G7" s="8">
        <f t="shared" si="2"/>
        <v>2</v>
      </c>
      <c r="H7" s="8">
        <f t="shared" si="5"/>
        <v>0</v>
      </c>
      <c r="I7" s="8">
        <f t="shared" si="6"/>
        <v>10</v>
      </c>
      <c r="J7" s="8">
        <f t="shared" si="7"/>
        <v>10</v>
      </c>
      <c r="K7" s="8">
        <f t="shared" si="8"/>
        <v>0</v>
      </c>
      <c r="L7" s="8">
        <f t="shared" si="9"/>
        <v>0</v>
      </c>
      <c r="M7" s="8">
        <f t="shared" si="10"/>
        <v>10</v>
      </c>
      <c r="N7" s="8">
        <f t="shared" si="11"/>
        <v>2</v>
      </c>
      <c r="O7" s="8">
        <f t="shared" si="12"/>
        <v>0</v>
      </c>
      <c r="P7" s="8">
        <f t="shared" si="13"/>
        <v>0</v>
      </c>
      <c r="Q7" s="8">
        <f t="shared" si="14"/>
        <v>8</v>
      </c>
      <c r="R7" s="8" t="str">
        <f t="shared" si="15"/>
        <v>No</v>
      </c>
      <c r="S7" s="8">
        <f t="shared" si="16"/>
        <v>0</v>
      </c>
      <c r="T7" s="8">
        <f t="shared" si="17"/>
        <v>0</v>
      </c>
      <c r="U7" s="8">
        <f t="shared" si="18"/>
        <v>8</v>
      </c>
      <c r="V7" s="8">
        <f t="shared" si="19"/>
        <v>80</v>
      </c>
      <c r="W7" s="8">
        <f t="shared" si="20"/>
        <v>0</v>
      </c>
      <c r="X7" s="8">
        <f t="shared" si="21"/>
        <v>0</v>
      </c>
      <c r="Y7" s="8">
        <f t="shared" si="22"/>
        <v>80</v>
      </c>
      <c r="AA7" s="8">
        <v>0.8</v>
      </c>
      <c r="AB7" s="8">
        <v>3</v>
      </c>
      <c r="AD7" s="8">
        <v>0.9</v>
      </c>
      <c r="AE7" s="8">
        <v>4</v>
      </c>
    </row>
    <row r="8" spans="1:34" x14ac:dyDescent="0.3">
      <c r="A8" s="8">
        <f t="shared" si="3"/>
        <v>7</v>
      </c>
      <c r="B8" s="31">
        <f t="shared" si="4"/>
        <v>45664</v>
      </c>
      <c r="C8">
        <v>0.74755088961455118</v>
      </c>
      <c r="D8" s="8">
        <f t="shared" si="0"/>
        <v>2</v>
      </c>
      <c r="E8">
        <v>0.14639728995635853</v>
      </c>
      <c r="F8" s="8">
        <f t="shared" si="1"/>
        <v>2</v>
      </c>
      <c r="G8" s="8">
        <f t="shared" si="2"/>
        <v>4</v>
      </c>
      <c r="H8" s="8">
        <f t="shared" si="5"/>
        <v>8</v>
      </c>
      <c r="I8" s="8">
        <f t="shared" si="6"/>
        <v>0</v>
      </c>
      <c r="J8" s="8">
        <f t="shared" si="7"/>
        <v>8</v>
      </c>
      <c r="K8" s="8">
        <f t="shared" si="8"/>
        <v>0</v>
      </c>
      <c r="L8" s="8">
        <f t="shared" si="9"/>
        <v>0</v>
      </c>
      <c r="M8" s="8">
        <f t="shared" si="10"/>
        <v>8</v>
      </c>
      <c r="N8" s="8">
        <f t="shared" si="11"/>
        <v>4</v>
      </c>
      <c r="O8" s="8">
        <f t="shared" si="12"/>
        <v>0</v>
      </c>
      <c r="P8" s="8">
        <f t="shared" si="13"/>
        <v>0</v>
      </c>
      <c r="Q8" s="8">
        <f t="shared" si="14"/>
        <v>4</v>
      </c>
      <c r="R8" s="8" t="str">
        <f t="shared" si="15"/>
        <v>No</v>
      </c>
      <c r="S8" s="8">
        <f t="shared" si="16"/>
        <v>0</v>
      </c>
      <c r="T8" s="8">
        <f t="shared" si="17"/>
        <v>0</v>
      </c>
      <c r="U8" s="8">
        <f t="shared" si="18"/>
        <v>4</v>
      </c>
      <c r="V8" s="8">
        <f t="shared" si="19"/>
        <v>40</v>
      </c>
      <c r="W8" s="8">
        <f t="shared" si="20"/>
        <v>0</v>
      </c>
      <c r="X8" s="8">
        <f t="shared" si="21"/>
        <v>0</v>
      </c>
      <c r="Y8" s="8">
        <f t="shared" si="22"/>
        <v>40</v>
      </c>
      <c r="AA8" s="8">
        <v>1</v>
      </c>
      <c r="AB8" s="8">
        <v>4</v>
      </c>
      <c r="AD8" s="8">
        <v>1</v>
      </c>
      <c r="AE8" s="8">
        <v>5</v>
      </c>
    </row>
    <row r="10" spans="1:34" x14ac:dyDescent="0.3">
      <c r="X10" s="41" t="s">
        <v>65</v>
      </c>
      <c r="Y10">
        <f>SUM(Y2:Y8)</f>
        <v>1340</v>
      </c>
    </row>
    <row r="11" spans="1:34" x14ac:dyDescent="0.3">
      <c r="X11" s="41" t="s">
        <v>70</v>
      </c>
      <c r="Y11">
        <f>AVERAGE(Y2:Y8)</f>
        <v>191.42857142857142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FF832-1851-442A-BFA9-8F2B40D9CF6C}">
  <sheetPr codeName="Sheet5"/>
  <dimension ref="A1:G55"/>
  <sheetViews>
    <sheetView showGridLines="0" workbookViewId="0"/>
  </sheetViews>
  <sheetFormatPr defaultRowHeight="14.4" x14ac:dyDescent="0.3"/>
  <cols>
    <col min="1" max="1" width="2.33203125" customWidth="1"/>
    <col min="2" max="2" width="17.88671875" bestFit="1" customWidth="1"/>
    <col min="3" max="3" width="32.77734375" bestFit="1" customWidth="1"/>
    <col min="4" max="4" width="12.6640625" bestFit="1" customWidth="1"/>
    <col min="5" max="5" width="12.44140625" bestFit="1" customWidth="1"/>
    <col min="6" max="6" width="7" bestFit="1" customWidth="1"/>
    <col min="7" max="7" width="5.33203125" bestFit="1" customWidth="1"/>
  </cols>
  <sheetData>
    <row r="1" spans="1:5" x14ac:dyDescent="0.3">
      <c r="A1" s="42" t="s">
        <v>94</v>
      </c>
    </row>
    <row r="2" spans="1:5" x14ac:dyDescent="0.3">
      <c r="A2" s="42" t="s">
        <v>95</v>
      </c>
    </row>
    <row r="3" spans="1:5" x14ac:dyDescent="0.3">
      <c r="A3" s="42" t="s">
        <v>96</v>
      </c>
    </row>
    <row r="4" spans="1:5" x14ac:dyDescent="0.3">
      <c r="A4" s="42" t="s">
        <v>97</v>
      </c>
    </row>
    <row r="5" spans="1:5" x14ac:dyDescent="0.3">
      <c r="A5" s="42" t="s">
        <v>98</v>
      </c>
    </row>
    <row r="6" spans="1:5" x14ac:dyDescent="0.3">
      <c r="A6" s="42"/>
      <c r="B6" t="s">
        <v>99</v>
      </c>
    </row>
    <row r="7" spans="1:5" x14ac:dyDescent="0.3">
      <c r="A7" s="42"/>
      <c r="B7" t="s">
        <v>100</v>
      </c>
    </row>
    <row r="8" spans="1:5" x14ac:dyDescent="0.3">
      <c r="A8" s="42"/>
      <c r="B8" t="s">
        <v>101</v>
      </c>
    </row>
    <row r="9" spans="1:5" x14ac:dyDescent="0.3">
      <c r="A9" s="42" t="s">
        <v>102</v>
      </c>
    </row>
    <row r="10" spans="1:5" x14ac:dyDescent="0.3">
      <c r="B10" t="s">
        <v>103</v>
      </c>
    </row>
    <row r="11" spans="1:5" x14ac:dyDescent="0.3">
      <c r="B11" t="s">
        <v>104</v>
      </c>
    </row>
    <row r="14" spans="1:5" ht="15" thickBot="1" x14ac:dyDescent="0.35">
      <c r="A14" t="s">
        <v>105</v>
      </c>
    </row>
    <row r="15" spans="1:5" ht="15" thickBot="1" x14ac:dyDescent="0.35">
      <c r="B15" s="44" t="s">
        <v>106</v>
      </c>
      <c r="C15" s="44" t="s">
        <v>107</v>
      </c>
      <c r="D15" s="44" t="s">
        <v>108</v>
      </c>
      <c r="E15" s="44" t="s">
        <v>109</v>
      </c>
    </row>
    <row r="16" spans="1:5" ht="15" thickBot="1" x14ac:dyDescent="0.35">
      <c r="B16" s="43" t="s">
        <v>117</v>
      </c>
      <c r="C16" s="43" t="s">
        <v>118</v>
      </c>
      <c r="D16" s="43">
        <v>0</v>
      </c>
      <c r="E16" s="43">
        <v>27</v>
      </c>
    </row>
    <row r="19" spans="1:6" ht="15" thickBot="1" x14ac:dyDescent="0.35">
      <c r="A19" t="s">
        <v>110</v>
      </c>
    </row>
    <row r="20" spans="1:6" ht="15" thickBot="1" x14ac:dyDescent="0.35">
      <c r="B20" s="44" t="s">
        <v>106</v>
      </c>
      <c r="C20" s="44" t="s">
        <v>107</v>
      </c>
      <c r="D20" s="44" t="s">
        <v>108</v>
      </c>
      <c r="E20" s="44" t="s">
        <v>109</v>
      </c>
      <c r="F20" s="44" t="s">
        <v>111</v>
      </c>
    </row>
    <row r="21" spans="1:6" x14ac:dyDescent="0.3">
      <c r="B21" s="45" t="s">
        <v>119</v>
      </c>
      <c r="C21" s="45" t="s">
        <v>120</v>
      </c>
      <c r="D21" s="45">
        <v>0</v>
      </c>
      <c r="E21" s="45">
        <v>0</v>
      </c>
      <c r="F21" s="45" t="s">
        <v>186</v>
      </c>
    </row>
    <row r="22" spans="1:6" x14ac:dyDescent="0.3">
      <c r="B22" s="45" t="s">
        <v>121</v>
      </c>
      <c r="C22" s="45" t="s">
        <v>122</v>
      </c>
      <c r="D22" s="45">
        <v>0</v>
      </c>
      <c r="E22" s="45">
        <v>0</v>
      </c>
      <c r="F22" s="45" t="s">
        <v>186</v>
      </c>
    </row>
    <row r="23" spans="1:6" x14ac:dyDescent="0.3">
      <c r="B23" s="45" t="s">
        <v>123</v>
      </c>
      <c r="C23" s="45" t="s">
        <v>124</v>
      </c>
      <c r="D23" s="45">
        <v>0</v>
      </c>
      <c r="E23" s="45">
        <v>1</v>
      </c>
      <c r="F23" s="45" t="s">
        <v>186</v>
      </c>
    </row>
    <row r="24" spans="1:6" x14ac:dyDescent="0.3">
      <c r="B24" s="45" t="s">
        <v>125</v>
      </c>
      <c r="C24" s="45" t="s">
        <v>126</v>
      </c>
      <c r="D24" s="45">
        <v>0</v>
      </c>
      <c r="E24" s="45">
        <v>0</v>
      </c>
      <c r="F24" s="45" t="s">
        <v>186</v>
      </c>
    </row>
    <row r="25" spans="1:6" x14ac:dyDescent="0.3">
      <c r="B25" s="45" t="s">
        <v>127</v>
      </c>
      <c r="C25" s="45" t="s">
        <v>128</v>
      </c>
      <c r="D25" s="45">
        <v>0</v>
      </c>
      <c r="E25" s="45">
        <v>0</v>
      </c>
      <c r="F25" s="45" t="s">
        <v>186</v>
      </c>
    </row>
    <row r="26" spans="1:6" x14ac:dyDescent="0.3">
      <c r="B26" s="45" t="s">
        <v>129</v>
      </c>
      <c r="C26" s="45" t="s">
        <v>130</v>
      </c>
      <c r="D26" s="45">
        <v>0</v>
      </c>
      <c r="E26" s="45">
        <v>0</v>
      </c>
      <c r="F26" s="45" t="s">
        <v>186</v>
      </c>
    </row>
    <row r="27" spans="1:6" x14ac:dyDescent="0.3">
      <c r="B27" s="45" t="s">
        <v>131</v>
      </c>
      <c r="C27" s="45" t="s">
        <v>132</v>
      </c>
      <c r="D27" s="45">
        <v>0</v>
      </c>
      <c r="E27" s="45">
        <v>0</v>
      </c>
      <c r="F27" s="45" t="s">
        <v>186</v>
      </c>
    </row>
    <row r="28" spans="1:6" x14ac:dyDescent="0.3">
      <c r="B28" s="45" t="s">
        <v>133</v>
      </c>
      <c r="C28" s="45" t="s">
        <v>134</v>
      </c>
      <c r="D28" s="45">
        <v>0</v>
      </c>
      <c r="E28" s="45">
        <v>0</v>
      </c>
      <c r="F28" s="45" t="s">
        <v>186</v>
      </c>
    </row>
    <row r="29" spans="1:6" x14ac:dyDescent="0.3">
      <c r="B29" s="45" t="s">
        <v>135</v>
      </c>
      <c r="C29" s="45" t="s">
        <v>136</v>
      </c>
      <c r="D29" s="45">
        <v>0</v>
      </c>
      <c r="E29" s="45">
        <v>0</v>
      </c>
      <c r="F29" s="45" t="s">
        <v>186</v>
      </c>
    </row>
    <row r="30" spans="1:6" x14ac:dyDescent="0.3">
      <c r="B30" s="45" t="s">
        <v>137</v>
      </c>
      <c r="C30" s="45" t="s">
        <v>138</v>
      </c>
      <c r="D30" s="45">
        <v>0</v>
      </c>
      <c r="E30" s="45">
        <v>0</v>
      </c>
      <c r="F30" s="45" t="s">
        <v>186</v>
      </c>
    </row>
    <row r="31" spans="1:6" x14ac:dyDescent="0.3">
      <c r="B31" s="45" t="s">
        <v>139</v>
      </c>
      <c r="C31" s="45" t="s">
        <v>140</v>
      </c>
      <c r="D31" s="45">
        <v>0</v>
      </c>
      <c r="E31" s="45">
        <v>0</v>
      </c>
      <c r="F31" s="45" t="s">
        <v>186</v>
      </c>
    </row>
    <row r="32" spans="1:6" x14ac:dyDescent="0.3">
      <c r="B32" s="45" t="s">
        <v>141</v>
      </c>
      <c r="C32" s="45" t="s">
        <v>142</v>
      </c>
      <c r="D32" s="45">
        <v>0</v>
      </c>
      <c r="E32" s="45">
        <v>1</v>
      </c>
      <c r="F32" s="45" t="s">
        <v>186</v>
      </c>
    </row>
    <row r="33" spans="1:6" x14ac:dyDescent="0.3">
      <c r="B33" s="45" t="s">
        <v>143</v>
      </c>
      <c r="C33" s="45" t="s">
        <v>144</v>
      </c>
      <c r="D33" s="45">
        <v>0</v>
      </c>
      <c r="E33" s="45">
        <v>0</v>
      </c>
      <c r="F33" s="45" t="s">
        <v>186</v>
      </c>
    </row>
    <row r="34" spans="1:6" x14ac:dyDescent="0.3">
      <c r="B34" s="45" t="s">
        <v>145</v>
      </c>
      <c r="C34" s="45" t="s">
        <v>146</v>
      </c>
      <c r="D34" s="45">
        <v>0</v>
      </c>
      <c r="E34" s="45">
        <v>1</v>
      </c>
      <c r="F34" s="45" t="s">
        <v>186</v>
      </c>
    </row>
    <row r="35" spans="1:6" x14ac:dyDescent="0.3">
      <c r="B35" s="45" t="s">
        <v>147</v>
      </c>
      <c r="C35" s="45" t="s">
        <v>148</v>
      </c>
      <c r="D35" s="45">
        <v>0</v>
      </c>
      <c r="E35" s="45">
        <v>0</v>
      </c>
      <c r="F35" s="45" t="s">
        <v>186</v>
      </c>
    </row>
    <row r="36" spans="1:6" x14ac:dyDescent="0.3">
      <c r="B36" s="45" t="s">
        <v>149</v>
      </c>
      <c r="C36" s="45" t="s">
        <v>150</v>
      </c>
      <c r="D36" s="45">
        <v>0</v>
      </c>
      <c r="E36" s="45">
        <v>1</v>
      </c>
      <c r="F36" s="45" t="s">
        <v>186</v>
      </c>
    </row>
    <row r="37" spans="1:6" x14ac:dyDescent="0.3">
      <c r="B37" s="45" t="s">
        <v>151</v>
      </c>
      <c r="C37" s="45" t="s">
        <v>152</v>
      </c>
      <c r="D37" s="45">
        <v>0</v>
      </c>
      <c r="E37" s="45">
        <v>0</v>
      </c>
      <c r="F37" s="45" t="s">
        <v>186</v>
      </c>
    </row>
    <row r="38" spans="1:6" x14ac:dyDescent="0.3">
      <c r="B38" s="45" t="s">
        <v>153</v>
      </c>
      <c r="C38" s="45" t="s">
        <v>154</v>
      </c>
      <c r="D38" s="45">
        <v>0</v>
      </c>
      <c r="E38" s="45">
        <v>0</v>
      </c>
      <c r="F38" s="45" t="s">
        <v>186</v>
      </c>
    </row>
    <row r="39" spans="1:6" x14ac:dyDescent="0.3">
      <c r="B39" s="45" t="s">
        <v>155</v>
      </c>
      <c r="C39" s="45" t="s">
        <v>156</v>
      </c>
      <c r="D39" s="45">
        <v>0</v>
      </c>
      <c r="E39" s="45">
        <v>0</v>
      </c>
      <c r="F39" s="45" t="s">
        <v>186</v>
      </c>
    </row>
    <row r="40" spans="1:6" x14ac:dyDescent="0.3">
      <c r="B40" s="45" t="s">
        <v>157</v>
      </c>
      <c r="C40" s="45" t="s">
        <v>158</v>
      </c>
      <c r="D40" s="45">
        <v>0</v>
      </c>
      <c r="E40" s="45">
        <v>0</v>
      </c>
      <c r="F40" s="45" t="s">
        <v>186</v>
      </c>
    </row>
    <row r="41" spans="1:6" x14ac:dyDescent="0.3">
      <c r="B41" s="45" t="s">
        <v>159</v>
      </c>
      <c r="C41" s="45" t="s">
        <v>160</v>
      </c>
      <c r="D41" s="45">
        <v>0</v>
      </c>
      <c r="E41" s="45">
        <v>0</v>
      </c>
      <c r="F41" s="45" t="s">
        <v>186</v>
      </c>
    </row>
    <row r="42" spans="1:6" x14ac:dyDescent="0.3">
      <c r="B42" s="45" t="s">
        <v>161</v>
      </c>
      <c r="C42" s="45" t="s">
        <v>162</v>
      </c>
      <c r="D42" s="45">
        <v>0</v>
      </c>
      <c r="E42" s="45">
        <v>0</v>
      </c>
      <c r="F42" s="45" t="s">
        <v>186</v>
      </c>
    </row>
    <row r="43" spans="1:6" x14ac:dyDescent="0.3">
      <c r="B43" s="45" t="s">
        <v>163</v>
      </c>
      <c r="C43" s="45" t="s">
        <v>164</v>
      </c>
      <c r="D43" s="45">
        <v>0</v>
      </c>
      <c r="E43" s="45">
        <v>0</v>
      </c>
      <c r="F43" s="45" t="s">
        <v>186</v>
      </c>
    </row>
    <row r="44" spans="1:6" x14ac:dyDescent="0.3">
      <c r="B44" s="45" t="s">
        <v>165</v>
      </c>
      <c r="C44" s="45" t="s">
        <v>166</v>
      </c>
      <c r="D44" s="45">
        <v>0</v>
      </c>
      <c r="E44" s="45">
        <v>0</v>
      </c>
      <c r="F44" s="45" t="s">
        <v>186</v>
      </c>
    </row>
    <row r="45" spans="1:6" ht="15" thickBot="1" x14ac:dyDescent="0.35">
      <c r="B45" s="43" t="s">
        <v>167</v>
      </c>
      <c r="C45" s="43" t="s">
        <v>168</v>
      </c>
      <c r="D45" s="43">
        <v>0</v>
      </c>
      <c r="E45" s="43">
        <v>1</v>
      </c>
      <c r="F45" s="43" t="s">
        <v>186</v>
      </c>
    </row>
    <row r="48" spans="1:6" ht="15" thickBot="1" x14ac:dyDescent="0.35">
      <c r="A48" t="s">
        <v>112</v>
      </c>
    </row>
    <row r="49" spans="2:7" ht="15" thickBot="1" x14ac:dyDescent="0.35">
      <c r="B49" s="44" t="s">
        <v>106</v>
      </c>
      <c r="C49" s="44" t="s">
        <v>107</v>
      </c>
      <c r="D49" s="44" t="s">
        <v>113</v>
      </c>
      <c r="E49" s="44" t="s">
        <v>114</v>
      </c>
      <c r="F49" s="44" t="s">
        <v>115</v>
      </c>
      <c r="G49" s="44" t="s">
        <v>116</v>
      </c>
    </row>
    <row r="50" spans="2:7" x14ac:dyDescent="0.3">
      <c r="B50" s="45" t="s">
        <v>169</v>
      </c>
      <c r="C50" s="45" t="s">
        <v>170</v>
      </c>
      <c r="D50" s="45">
        <v>1</v>
      </c>
      <c r="E50" s="45" t="s">
        <v>171</v>
      </c>
      <c r="F50" s="45" t="s">
        <v>172</v>
      </c>
      <c r="G50" s="45">
        <v>0</v>
      </c>
    </row>
    <row r="51" spans="2:7" x14ac:dyDescent="0.3">
      <c r="B51" s="45" t="s">
        <v>173</v>
      </c>
      <c r="C51" s="45" t="s">
        <v>174</v>
      </c>
      <c r="D51" s="45">
        <v>1</v>
      </c>
      <c r="E51" s="45" t="s">
        <v>175</v>
      </c>
      <c r="F51" s="45" t="s">
        <v>172</v>
      </c>
      <c r="G51" s="45">
        <v>0</v>
      </c>
    </row>
    <row r="52" spans="2:7" x14ac:dyDescent="0.3">
      <c r="B52" s="45" t="s">
        <v>176</v>
      </c>
      <c r="C52" s="45" t="s">
        <v>177</v>
      </c>
      <c r="D52" s="45">
        <v>1</v>
      </c>
      <c r="E52" s="45" t="s">
        <v>178</v>
      </c>
      <c r="F52" s="45" t="s">
        <v>172</v>
      </c>
      <c r="G52" s="45">
        <v>0</v>
      </c>
    </row>
    <row r="53" spans="2:7" x14ac:dyDescent="0.3">
      <c r="B53" s="45" t="s">
        <v>179</v>
      </c>
      <c r="C53" s="45" t="s">
        <v>180</v>
      </c>
      <c r="D53" s="45">
        <v>1</v>
      </c>
      <c r="E53" s="45" t="s">
        <v>181</v>
      </c>
      <c r="F53" s="45" t="s">
        <v>172</v>
      </c>
      <c r="G53" s="45">
        <v>0</v>
      </c>
    </row>
    <row r="54" spans="2:7" x14ac:dyDescent="0.3">
      <c r="B54" s="45" t="s">
        <v>182</v>
      </c>
      <c r="C54" s="45" t="s">
        <v>183</v>
      </c>
      <c r="D54" s="45">
        <v>1</v>
      </c>
      <c r="E54" s="45" t="s">
        <v>184</v>
      </c>
      <c r="F54" s="45" t="s">
        <v>172</v>
      </c>
      <c r="G54" s="45">
        <v>0</v>
      </c>
    </row>
    <row r="55" spans="2:7" ht="15" thickBot="1" x14ac:dyDescent="0.35">
      <c r="B55" s="43" t="s">
        <v>185</v>
      </c>
      <c r="C55" s="43"/>
      <c r="D55" s="43"/>
      <c r="E55" s="43"/>
      <c r="F55" s="43"/>
      <c r="G55" s="4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B8EC7-12BA-4EF8-A177-3ECD94A8E136}">
  <sheetPr codeName="Sheet6"/>
  <dimension ref="A1:G19"/>
  <sheetViews>
    <sheetView workbookViewId="0">
      <selection activeCell="F19" sqref="F19"/>
    </sheetView>
  </sheetViews>
  <sheetFormatPr defaultRowHeight="14.4" x14ac:dyDescent="0.3"/>
  <cols>
    <col min="1" max="1" width="28" bestFit="1" customWidth="1"/>
    <col min="7" max="7" width="12.109375" bestFit="1" customWidth="1"/>
  </cols>
  <sheetData>
    <row r="1" spans="1:6" x14ac:dyDescent="0.3">
      <c r="A1" s="34" t="s">
        <v>214</v>
      </c>
      <c r="B1" s="34" t="s">
        <v>86</v>
      </c>
      <c r="C1" s="34" t="s">
        <v>87</v>
      </c>
      <c r="D1" s="34" t="s">
        <v>88</v>
      </c>
      <c r="E1" s="34" t="s">
        <v>89</v>
      </c>
      <c r="F1" s="34" t="s">
        <v>90</v>
      </c>
    </row>
    <row r="2" spans="1:6" x14ac:dyDescent="0.3">
      <c r="A2" s="34" t="s">
        <v>81</v>
      </c>
      <c r="B2" s="46">
        <v>14</v>
      </c>
      <c r="C2" s="46">
        <v>7</v>
      </c>
      <c r="D2" s="46">
        <v>3</v>
      </c>
      <c r="E2" s="46">
        <v>7</v>
      </c>
      <c r="F2" s="46">
        <v>27</v>
      </c>
    </row>
    <row r="3" spans="1:6" x14ac:dyDescent="0.3">
      <c r="A3" s="34" t="s">
        <v>82</v>
      </c>
      <c r="B3" s="46">
        <v>20</v>
      </c>
      <c r="C3" s="46">
        <v>7</v>
      </c>
      <c r="D3" s="46">
        <v>12</v>
      </c>
      <c r="E3" s="46">
        <v>6</v>
      </c>
      <c r="F3" s="46">
        <v>30</v>
      </c>
    </row>
    <row r="4" spans="1:6" x14ac:dyDescent="0.3">
      <c r="A4" s="34" t="s">
        <v>83</v>
      </c>
      <c r="B4" s="46">
        <v>10</v>
      </c>
      <c r="C4" s="46">
        <v>3</v>
      </c>
      <c r="D4" s="46">
        <v>4</v>
      </c>
      <c r="E4" s="46">
        <v>5</v>
      </c>
      <c r="F4" s="46">
        <v>21</v>
      </c>
    </row>
    <row r="5" spans="1:6" x14ac:dyDescent="0.3">
      <c r="A5" s="34" t="s">
        <v>84</v>
      </c>
      <c r="B5" s="46">
        <v>8</v>
      </c>
      <c r="C5" s="46">
        <v>12</v>
      </c>
      <c r="D5" s="46">
        <v>7</v>
      </c>
      <c r="E5" s="46">
        <v>12</v>
      </c>
      <c r="F5" s="46">
        <v>21</v>
      </c>
    </row>
    <row r="6" spans="1:6" x14ac:dyDescent="0.3">
      <c r="A6" s="34" t="s">
        <v>85</v>
      </c>
      <c r="B6" s="46">
        <v>13</v>
      </c>
      <c r="C6" s="46">
        <v>25</v>
      </c>
      <c r="D6" s="46">
        <v>24</v>
      </c>
      <c r="E6" s="46">
        <v>26</v>
      </c>
      <c r="F6" s="46">
        <v>8</v>
      </c>
    </row>
    <row r="9" spans="1:6" x14ac:dyDescent="0.3">
      <c r="A9" s="8" t="s">
        <v>215</v>
      </c>
      <c r="B9" s="34" t="s">
        <v>86</v>
      </c>
      <c r="C9" s="34" t="s">
        <v>87</v>
      </c>
      <c r="D9" s="34" t="s">
        <v>88</v>
      </c>
      <c r="E9" s="34" t="s">
        <v>89</v>
      </c>
      <c r="F9" s="34" t="s">
        <v>90</v>
      </c>
    </row>
    <row r="10" spans="1:6" x14ac:dyDescent="0.3">
      <c r="A10" s="34" t="s">
        <v>81</v>
      </c>
      <c r="B10" s="34">
        <v>0</v>
      </c>
      <c r="C10" s="34">
        <v>0</v>
      </c>
      <c r="D10" s="34">
        <v>1</v>
      </c>
      <c r="E10" s="34">
        <v>0</v>
      </c>
      <c r="F10" s="34">
        <v>0</v>
      </c>
    </row>
    <row r="11" spans="1:6" x14ac:dyDescent="0.3">
      <c r="A11" s="34" t="s">
        <v>82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</row>
    <row r="12" spans="1:6" x14ac:dyDescent="0.3">
      <c r="A12" s="34" t="s">
        <v>83</v>
      </c>
      <c r="B12" s="8">
        <v>0</v>
      </c>
      <c r="C12" s="8">
        <v>1</v>
      </c>
      <c r="D12" s="8">
        <v>0</v>
      </c>
      <c r="E12" s="8">
        <v>1</v>
      </c>
      <c r="F12" s="8">
        <v>0</v>
      </c>
    </row>
    <row r="13" spans="1:6" x14ac:dyDescent="0.3">
      <c r="A13" s="34" t="s">
        <v>84</v>
      </c>
      <c r="B13" s="8">
        <v>1</v>
      </c>
      <c r="C13" s="8">
        <v>0</v>
      </c>
      <c r="D13" s="8">
        <v>0</v>
      </c>
      <c r="E13" s="8">
        <v>0</v>
      </c>
      <c r="F13" s="8">
        <v>0</v>
      </c>
    </row>
    <row r="14" spans="1:6" x14ac:dyDescent="0.3">
      <c r="A14" s="34" t="s">
        <v>85</v>
      </c>
      <c r="B14" s="8">
        <v>0</v>
      </c>
      <c r="C14" s="8">
        <v>0</v>
      </c>
      <c r="D14" s="8">
        <v>0</v>
      </c>
      <c r="E14" s="8">
        <v>0</v>
      </c>
      <c r="F14" s="8">
        <v>1</v>
      </c>
    </row>
    <row r="16" spans="1:6" x14ac:dyDescent="0.3">
      <c r="A16" t="s">
        <v>216</v>
      </c>
      <c r="B16">
        <f>SUMPRODUCT(B2:F6,B10:F14)</f>
        <v>27</v>
      </c>
    </row>
    <row r="18" spans="1:7" x14ac:dyDescent="0.3">
      <c r="A18" s="8" t="s">
        <v>91</v>
      </c>
      <c r="B18" s="34" t="s">
        <v>86</v>
      </c>
      <c r="C18" s="34" t="s">
        <v>87</v>
      </c>
      <c r="D18" s="34" t="s">
        <v>88</v>
      </c>
      <c r="E18" s="34" t="s">
        <v>89</v>
      </c>
      <c r="F18" s="34" t="s">
        <v>90</v>
      </c>
      <c r="G18" s="8" t="s">
        <v>93</v>
      </c>
    </row>
    <row r="19" spans="1:7" x14ac:dyDescent="0.3">
      <c r="A19" s="8" t="s">
        <v>92</v>
      </c>
      <c r="B19" s="8">
        <f>SUM(B10:B14)</f>
        <v>1</v>
      </c>
      <c r="C19" s="8">
        <f>SUM(C10:C14)</f>
        <v>1</v>
      </c>
      <c r="D19" s="8">
        <f t="shared" ref="D19:F19" si="0">SUM(D10:D14)</f>
        <v>1</v>
      </c>
      <c r="E19" s="8">
        <f t="shared" si="0"/>
        <v>1</v>
      </c>
      <c r="F19" s="8">
        <f t="shared" si="0"/>
        <v>1</v>
      </c>
      <c r="G19" s="8">
        <v>1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551A0-9A63-4E90-9C0C-CB4C09E1EC5B}">
  <sheetPr codeName="Sheet7"/>
  <dimension ref="A1:AH26"/>
  <sheetViews>
    <sheetView tabSelected="1" workbookViewId="0">
      <selection activeCell="F9" sqref="F9"/>
    </sheetView>
  </sheetViews>
  <sheetFormatPr defaultRowHeight="14.4" x14ac:dyDescent="0.3"/>
  <cols>
    <col min="1" max="1" width="6.88671875" bestFit="1" customWidth="1"/>
    <col min="2" max="2" width="19.6640625" bestFit="1" customWidth="1"/>
    <col min="3" max="3" width="24" bestFit="1" customWidth="1"/>
    <col min="4" max="4" width="16.109375" bestFit="1" customWidth="1"/>
    <col min="5" max="5" width="20.109375" bestFit="1" customWidth="1"/>
    <col min="6" max="6" width="16.6640625" bestFit="1" customWidth="1"/>
    <col min="7" max="7" width="17.21875" bestFit="1" customWidth="1"/>
    <col min="8" max="8" width="18.44140625" bestFit="1" customWidth="1"/>
    <col min="9" max="9" width="22.44140625" bestFit="1" customWidth="1"/>
    <col min="10" max="10" width="21.109375" bestFit="1" customWidth="1"/>
    <col min="11" max="11" width="14.77734375" bestFit="1" customWidth="1"/>
    <col min="12" max="12" width="31.21875" bestFit="1" customWidth="1"/>
    <col min="13" max="13" width="22.44140625" bestFit="1" customWidth="1"/>
  </cols>
  <sheetData>
    <row r="1" spans="1:34" s="48" customFormat="1" x14ac:dyDescent="0.3">
      <c r="A1" s="48" t="s">
        <v>187</v>
      </c>
      <c r="B1" s="48" t="s">
        <v>188</v>
      </c>
      <c r="C1" s="48" t="s">
        <v>189</v>
      </c>
      <c r="D1" s="48" t="s">
        <v>190</v>
      </c>
      <c r="E1" s="48" t="s">
        <v>191</v>
      </c>
      <c r="F1" s="48" t="s">
        <v>192</v>
      </c>
      <c r="G1" s="48" t="s">
        <v>193</v>
      </c>
      <c r="H1" s="48" t="s">
        <v>194</v>
      </c>
      <c r="I1" s="48" t="s">
        <v>195</v>
      </c>
      <c r="J1" s="48" t="s">
        <v>196</v>
      </c>
      <c r="K1" s="48" t="s">
        <v>197</v>
      </c>
      <c r="L1" s="48" t="s">
        <v>198</v>
      </c>
      <c r="M1" s="48" t="s">
        <v>199</v>
      </c>
    </row>
    <row r="2" spans="1:34" x14ac:dyDescent="0.3">
      <c r="A2">
        <v>1</v>
      </c>
      <c r="C2">
        <v>0</v>
      </c>
      <c r="D2">
        <v>0</v>
      </c>
      <c r="E2">
        <v>0.27552110354930265</v>
      </c>
      <c r="F2">
        <f xml:space="preserve"> -AH$6 * LN(1 - E2)</f>
        <v>6.4460529215616145</v>
      </c>
      <c r="G2">
        <v>1</v>
      </c>
      <c r="H2">
        <f>K2</f>
        <v>6.4460529215616145</v>
      </c>
      <c r="I2">
        <v>0</v>
      </c>
      <c r="J2">
        <f>D2</f>
        <v>0</v>
      </c>
      <c r="K2">
        <f>J2 + F2</f>
        <v>6.4460529215616145</v>
      </c>
      <c r="L2">
        <f>J2-D2</f>
        <v>0</v>
      </c>
      <c r="M2">
        <v>0</v>
      </c>
    </row>
    <row r="3" spans="1:34" x14ac:dyDescent="0.3">
      <c r="A3">
        <v>2</v>
      </c>
      <c r="B3">
        <v>0.14371166112247077</v>
      </c>
      <c r="C3">
        <f xml:space="preserve"> -15 * LN(1 - B3)</f>
        <v>2.3272217261499941</v>
      </c>
      <c r="D3">
        <f>D2 + C3</f>
        <v>2.3272217261499941</v>
      </c>
      <c r="E3">
        <v>0.26178777428510391</v>
      </c>
      <c r="F3">
        <f t="shared" ref="F3" si="0" xml:space="preserve"> -AH$6 * LN(1 - E3)</f>
        <v>6.0704785400450429</v>
      </c>
      <c r="G3">
        <f>IF(H2&lt;=I2, 1, 2)</f>
        <v>2</v>
      </c>
      <c r="H3">
        <f xml:space="preserve"> IF(G3-1, K3, H2)</f>
        <v>8.397700266195038</v>
      </c>
      <c r="I3">
        <f>IF(G3=2, K3, I2)</f>
        <v>8.397700266195038</v>
      </c>
      <c r="J3">
        <f>MAX(D3, MIN(H2, I2))</f>
        <v>2.3272217261499941</v>
      </c>
      <c r="K3">
        <f t="shared" ref="K3:K16" si="1">J3 + F3</f>
        <v>8.397700266195038</v>
      </c>
      <c r="L3">
        <f>J3-D3</f>
        <v>0</v>
      </c>
      <c r="M3">
        <f>IF(G3=1, MAX(0, D3 - H2), MAX(0, D3 - I2))</f>
        <v>2.3272217261499941</v>
      </c>
    </row>
    <row r="4" spans="1:34" x14ac:dyDescent="0.3">
      <c r="A4">
        <v>3</v>
      </c>
      <c r="B4">
        <v>0.38380077517014072</v>
      </c>
      <c r="C4">
        <f t="shared" ref="C4:C16" si="2" xml:space="preserve"> -15 * LN(1 - B4)</f>
        <v>7.262774262075145</v>
      </c>
      <c r="D4">
        <f t="shared" ref="D4:D16" si="3">D3 + C4</f>
        <v>9.5899959882251391</v>
      </c>
      <c r="E4">
        <v>0.50459303567613756</v>
      </c>
      <c r="F4">
        <f t="shared" ref="F4:F16" si="4" xml:space="preserve"> -AH$6 * LN(1 - E4)</f>
        <v>14.047514080890778</v>
      </c>
      <c r="G4">
        <f t="shared" ref="G4:G16" si="5">IF(H3&lt;=I3, 1, 2)</f>
        <v>1</v>
      </c>
      <c r="H4">
        <f t="shared" ref="H4:H16" si="6">IF(G4=1, K4, H3)</f>
        <v>23.637510069115919</v>
      </c>
      <c r="I4">
        <f t="shared" ref="I4:I16" si="7">IF(G4=2, K4, I3)</f>
        <v>8.397700266195038</v>
      </c>
      <c r="J4">
        <f t="shared" ref="J4:J16" si="8">MAX(D4, MIN(H3, I3))</f>
        <v>9.5899959882251391</v>
      </c>
      <c r="K4">
        <f t="shared" si="1"/>
        <v>23.637510069115919</v>
      </c>
      <c r="L4">
        <f t="shared" ref="L4:L16" si="9">J4-D4</f>
        <v>0</v>
      </c>
      <c r="M4">
        <f t="shared" ref="M4:M16" si="10">IF(G4=1, MAX(0, D4 - H3), MAX(0, D4 - I3))</f>
        <v>1.1922957220301011</v>
      </c>
    </row>
    <row r="5" spans="1:34" x14ac:dyDescent="0.3">
      <c r="A5">
        <v>4</v>
      </c>
      <c r="B5">
        <v>0.79537339396343887</v>
      </c>
      <c r="C5">
        <f t="shared" si="2"/>
        <v>23.798525919594077</v>
      </c>
      <c r="D5">
        <f t="shared" si="3"/>
        <v>33.388521907819218</v>
      </c>
      <c r="E5">
        <v>0.75109103671376687</v>
      </c>
      <c r="F5">
        <f t="shared" si="4"/>
        <v>27.813361173220763</v>
      </c>
      <c r="G5">
        <f t="shared" si="5"/>
        <v>2</v>
      </c>
      <c r="H5">
        <f t="shared" si="6"/>
        <v>23.637510069115919</v>
      </c>
      <c r="I5">
        <f t="shared" si="7"/>
        <v>61.201883081039981</v>
      </c>
      <c r="J5">
        <f t="shared" si="8"/>
        <v>33.388521907819218</v>
      </c>
      <c r="K5">
        <f t="shared" si="1"/>
        <v>61.201883081039981</v>
      </c>
      <c r="L5">
        <f t="shared" si="9"/>
        <v>0</v>
      </c>
      <c r="M5">
        <f t="shared" si="10"/>
        <v>24.99082164162418</v>
      </c>
    </row>
    <row r="6" spans="1:34" x14ac:dyDescent="0.3">
      <c r="A6">
        <v>5</v>
      </c>
      <c r="B6">
        <v>0.89916684469130526</v>
      </c>
      <c r="C6">
        <f t="shared" si="2"/>
        <v>34.414320835717724</v>
      </c>
      <c r="D6">
        <f t="shared" si="3"/>
        <v>67.802842743536942</v>
      </c>
      <c r="E6">
        <v>0.84810937833796196</v>
      </c>
      <c r="F6">
        <f t="shared" si="4"/>
        <v>37.691892229936592</v>
      </c>
      <c r="G6">
        <f t="shared" si="5"/>
        <v>1</v>
      </c>
      <c r="H6">
        <f t="shared" si="6"/>
        <v>105.49473497347353</v>
      </c>
      <c r="I6">
        <f t="shared" si="7"/>
        <v>61.201883081039981</v>
      </c>
      <c r="J6">
        <f t="shared" si="8"/>
        <v>67.802842743536942</v>
      </c>
      <c r="K6">
        <f t="shared" si="1"/>
        <v>105.49473497347353</v>
      </c>
      <c r="L6">
        <f t="shared" si="9"/>
        <v>0</v>
      </c>
      <c r="M6">
        <f t="shared" si="10"/>
        <v>44.165332674421023</v>
      </c>
      <c r="AG6" t="s">
        <v>200</v>
      </c>
      <c r="AH6">
        <v>20</v>
      </c>
    </row>
    <row r="7" spans="1:34" x14ac:dyDescent="0.3">
      <c r="A7">
        <v>6</v>
      </c>
      <c r="B7">
        <v>0.87066255684072391</v>
      </c>
      <c r="C7">
        <f t="shared" si="2"/>
        <v>30.679956772907094</v>
      </c>
      <c r="D7">
        <f t="shared" si="3"/>
        <v>98.482799516444032</v>
      </c>
      <c r="E7">
        <v>0.26380199591051973</v>
      </c>
      <c r="F7">
        <f t="shared" si="4"/>
        <v>6.1251233827825047</v>
      </c>
      <c r="G7">
        <f t="shared" si="5"/>
        <v>2</v>
      </c>
      <c r="H7">
        <f t="shared" si="6"/>
        <v>105.49473497347353</v>
      </c>
      <c r="I7">
        <f t="shared" si="7"/>
        <v>104.60792289922654</v>
      </c>
      <c r="J7">
        <f t="shared" si="8"/>
        <v>98.482799516444032</v>
      </c>
      <c r="K7">
        <f t="shared" si="1"/>
        <v>104.60792289922654</v>
      </c>
      <c r="L7">
        <f t="shared" si="9"/>
        <v>0</v>
      </c>
      <c r="M7">
        <f t="shared" si="10"/>
        <v>37.280916435404052</v>
      </c>
    </row>
    <row r="8" spans="1:34" x14ac:dyDescent="0.3">
      <c r="A8">
        <v>7</v>
      </c>
      <c r="B8">
        <v>0.7125766777550584</v>
      </c>
      <c r="C8">
        <f t="shared" si="2"/>
        <v>18.701987393278259</v>
      </c>
      <c r="D8">
        <f t="shared" si="3"/>
        <v>117.18478690972229</v>
      </c>
      <c r="E8">
        <v>0.74755088961455118</v>
      </c>
      <c r="F8">
        <f t="shared" si="4"/>
        <v>27.530911872143466</v>
      </c>
      <c r="G8">
        <f t="shared" si="5"/>
        <v>2</v>
      </c>
      <c r="H8">
        <f t="shared" si="6"/>
        <v>105.49473497347353</v>
      </c>
      <c r="I8">
        <f t="shared" si="7"/>
        <v>144.71569878186577</v>
      </c>
      <c r="J8">
        <f t="shared" si="8"/>
        <v>117.18478690972229</v>
      </c>
      <c r="K8">
        <f t="shared" si="1"/>
        <v>144.71569878186577</v>
      </c>
      <c r="L8">
        <f t="shared" si="9"/>
        <v>0</v>
      </c>
      <c r="M8">
        <f t="shared" si="10"/>
        <v>12.576864010495754</v>
      </c>
    </row>
    <row r="9" spans="1:34" x14ac:dyDescent="0.3">
      <c r="A9">
        <v>8</v>
      </c>
      <c r="B9">
        <v>0.60258796960356453</v>
      </c>
      <c r="C9">
        <f t="shared" si="2"/>
        <v>13.841725148378647</v>
      </c>
      <c r="D9">
        <f t="shared" si="3"/>
        <v>131.02651205810093</v>
      </c>
      <c r="E9">
        <v>5.0569170201727347E-2</v>
      </c>
      <c r="F9">
        <f t="shared" si="4"/>
        <v>1.0378520092740235</v>
      </c>
      <c r="G9">
        <f t="shared" si="5"/>
        <v>1</v>
      </c>
      <c r="H9">
        <f t="shared" si="6"/>
        <v>132.06436406737495</v>
      </c>
      <c r="I9">
        <f t="shared" si="7"/>
        <v>144.71569878186577</v>
      </c>
      <c r="J9">
        <f t="shared" si="8"/>
        <v>131.02651205810093</v>
      </c>
      <c r="K9">
        <f t="shared" si="1"/>
        <v>132.06436406737495</v>
      </c>
      <c r="L9">
        <f t="shared" si="9"/>
        <v>0</v>
      </c>
      <c r="M9">
        <f t="shared" si="10"/>
        <v>25.531777084627407</v>
      </c>
    </row>
    <row r="10" spans="1:34" x14ac:dyDescent="0.3">
      <c r="A10">
        <v>9</v>
      </c>
      <c r="B10">
        <v>0.12994781334879604</v>
      </c>
      <c r="C10">
        <f t="shared" si="2"/>
        <v>2.0880312671393839</v>
      </c>
      <c r="D10">
        <f t="shared" si="3"/>
        <v>133.11454332524031</v>
      </c>
      <c r="E10">
        <v>0.53840754417554249</v>
      </c>
      <c r="F10">
        <f t="shared" si="4"/>
        <v>15.461458149126834</v>
      </c>
      <c r="G10">
        <f t="shared" si="5"/>
        <v>1</v>
      </c>
      <c r="H10">
        <f t="shared" si="6"/>
        <v>148.57600147436713</v>
      </c>
      <c r="I10">
        <f t="shared" si="7"/>
        <v>144.71569878186577</v>
      </c>
      <c r="J10">
        <f t="shared" si="8"/>
        <v>133.11454332524031</v>
      </c>
      <c r="K10">
        <f t="shared" si="1"/>
        <v>148.57600147436713</v>
      </c>
      <c r="L10">
        <f t="shared" si="9"/>
        <v>0</v>
      </c>
      <c r="M10">
        <f t="shared" si="10"/>
        <v>1.0501792578653522</v>
      </c>
    </row>
    <row r="11" spans="1:34" x14ac:dyDescent="0.3">
      <c r="A11">
        <v>10</v>
      </c>
      <c r="B11">
        <v>0.12121951963866084</v>
      </c>
      <c r="C11">
        <f t="shared" si="2"/>
        <v>1.938302256219167</v>
      </c>
      <c r="D11">
        <f t="shared" si="3"/>
        <v>135.05284558145948</v>
      </c>
      <c r="E11">
        <v>0.40498062074648272</v>
      </c>
      <c r="F11">
        <f t="shared" si="4"/>
        <v>10.383226075858508</v>
      </c>
      <c r="G11">
        <f t="shared" si="5"/>
        <v>2</v>
      </c>
      <c r="H11">
        <f t="shared" si="6"/>
        <v>148.57600147436713</v>
      </c>
      <c r="I11">
        <f t="shared" si="7"/>
        <v>155.09892485772428</v>
      </c>
      <c r="J11">
        <f t="shared" si="8"/>
        <v>144.71569878186577</v>
      </c>
      <c r="K11">
        <f t="shared" si="1"/>
        <v>155.09892485772428</v>
      </c>
      <c r="L11">
        <f t="shared" si="9"/>
        <v>9.662853200406289</v>
      </c>
      <c r="M11">
        <f t="shared" si="10"/>
        <v>0</v>
      </c>
    </row>
    <row r="12" spans="1:34" x14ac:dyDescent="0.3">
      <c r="A12">
        <v>11</v>
      </c>
      <c r="B12">
        <v>0.43058565019684436</v>
      </c>
      <c r="C12">
        <f t="shared" si="2"/>
        <v>8.4472035425171619</v>
      </c>
      <c r="D12">
        <f t="shared" si="3"/>
        <v>143.50004912397665</v>
      </c>
      <c r="E12">
        <v>0.75231177709280683</v>
      </c>
      <c r="F12">
        <f t="shared" si="4"/>
        <v>27.911689788193573</v>
      </c>
      <c r="G12">
        <f t="shared" si="5"/>
        <v>1</v>
      </c>
      <c r="H12">
        <f t="shared" si="6"/>
        <v>176.4876912625607</v>
      </c>
      <c r="I12">
        <f t="shared" si="7"/>
        <v>155.09892485772428</v>
      </c>
      <c r="J12">
        <f t="shared" si="8"/>
        <v>148.57600147436713</v>
      </c>
      <c r="K12">
        <f t="shared" si="1"/>
        <v>176.4876912625607</v>
      </c>
      <c r="L12">
        <f t="shared" si="9"/>
        <v>5.0759523503904802</v>
      </c>
      <c r="M12">
        <f t="shared" si="10"/>
        <v>0</v>
      </c>
    </row>
    <row r="13" spans="1:34" x14ac:dyDescent="0.3">
      <c r="A13">
        <v>12</v>
      </c>
      <c r="B13">
        <v>0.14267403180028687</v>
      </c>
      <c r="C13">
        <f t="shared" si="2"/>
        <v>2.3090560961470907</v>
      </c>
      <c r="D13">
        <f t="shared" si="3"/>
        <v>145.80910522012374</v>
      </c>
      <c r="E13">
        <v>0.55815301980651266</v>
      </c>
      <c r="F13">
        <f t="shared" si="4"/>
        <v>16.335833110045943</v>
      </c>
      <c r="G13">
        <f t="shared" si="5"/>
        <v>2</v>
      </c>
      <c r="H13">
        <f t="shared" si="6"/>
        <v>176.4876912625607</v>
      </c>
      <c r="I13">
        <f t="shared" si="7"/>
        <v>171.43475796777022</v>
      </c>
      <c r="J13">
        <f t="shared" si="8"/>
        <v>155.09892485772428</v>
      </c>
      <c r="K13">
        <f t="shared" si="1"/>
        <v>171.43475796777022</v>
      </c>
      <c r="L13">
        <f t="shared" si="9"/>
        <v>9.2898196376005444</v>
      </c>
      <c r="M13">
        <f t="shared" si="10"/>
        <v>0</v>
      </c>
    </row>
    <row r="14" spans="1:34" x14ac:dyDescent="0.3">
      <c r="A14">
        <v>13</v>
      </c>
      <c r="B14">
        <v>0.11673329874568926</v>
      </c>
      <c r="C14">
        <f t="shared" si="2"/>
        <v>1.8619212608616884</v>
      </c>
      <c r="D14">
        <f t="shared" si="3"/>
        <v>147.67102648098543</v>
      </c>
      <c r="E14">
        <v>3.012176885280923E-2</v>
      </c>
      <c r="F14">
        <f t="shared" si="4"/>
        <v>0.61169500529353882</v>
      </c>
      <c r="G14">
        <f t="shared" si="5"/>
        <v>2</v>
      </c>
      <c r="H14">
        <f t="shared" si="6"/>
        <v>176.4876912625607</v>
      </c>
      <c r="I14">
        <f t="shared" si="7"/>
        <v>172.04645297306377</v>
      </c>
      <c r="J14">
        <f t="shared" si="8"/>
        <v>171.43475796777022</v>
      </c>
      <c r="K14">
        <f t="shared" si="1"/>
        <v>172.04645297306377</v>
      </c>
      <c r="L14">
        <f t="shared" si="9"/>
        <v>23.763731486784792</v>
      </c>
      <c r="M14">
        <f t="shared" si="10"/>
        <v>0</v>
      </c>
    </row>
    <row r="15" spans="1:34" x14ac:dyDescent="0.3">
      <c r="A15">
        <v>14</v>
      </c>
      <c r="B15">
        <v>0.27121799371318706</v>
      </c>
      <c r="C15">
        <f t="shared" si="2"/>
        <v>4.7457093427326829</v>
      </c>
      <c r="D15">
        <f t="shared" si="3"/>
        <v>152.41673582371811</v>
      </c>
      <c r="E15">
        <v>0.14639728995635853</v>
      </c>
      <c r="F15">
        <f t="shared" si="4"/>
        <v>3.1657880831875707</v>
      </c>
      <c r="G15">
        <f t="shared" si="5"/>
        <v>2</v>
      </c>
      <c r="H15">
        <f t="shared" si="6"/>
        <v>176.4876912625607</v>
      </c>
      <c r="I15">
        <f t="shared" si="7"/>
        <v>175.21224105625134</v>
      </c>
      <c r="J15">
        <f t="shared" si="8"/>
        <v>172.04645297306377</v>
      </c>
      <c r="K15">
        <f t="shared" si="1"/>
        <v>175.21224105625134</v>
      </c>
      <c r="L15">
        <f t="shared" si="9"/>
        <v>19.629717149345652</v>
      </c>
      <c r="M15">
        <f t="shared" si="10"/>
        <v>0</v>
      </c>
    </row>
    <row r="16" spans="1:34" x14ac:dyDescent="0.3">
      <c r="A16">
        <v>15</v>
      </c>
      <c r="B16">
        <v>0.85448774681844542</v>
      </c>
      <c r="C16">
        <f t="shared" si="2"/>
        <v>28.912424724152974</v>
      </c>
      <c r="D16">
        <f t="shared" si="3"/>
        <v>181.32916054787108</v>
      </c>
      <c r="E16">
        <v>9.887997070223091E-2</v>
      </c>
      <c r="F16">
        <f t="shared" si="4"/>
        <v>2.0823362475990543</v>
      </c>
      <c r="G16">
        <f t="shared" si="5"/>
        <v>2</v>
      </c>
      <c r="H16">
        <f t="shared" si="6"/>
        <v>176.4876912625607</v>
      </c>
      <c r="I16">
        <f t="shared" si="7"/>
        <v>183.41149679547013</v>
      </c>
      <c r="J16">
        <f t="shared" si="8"/>
        <v>181.32916054787108</v>
      </c>
      <c r="K16">
        <f t="shared" si="1"/>
        <v>183.41149679547013</v>
      </c>
      <c r="L16">
        <f t="shared" si="9"/>
        <v>0</v>
      </c>
      <c r="M16">
        <f t="shared" si="10"/>
        <v>6.1169194916197398</v>
      </c>
    </row>
    <row r="19" spans="9:13" x14ac:dyDescent="0.3">
      <c r="I19" s="47" t="s">
        <v>201</v>
      </c>
      <c r="J19" s="8"/>
      <c r="L19" s="47" t="s">
        <v>205</v>
      </c>
      <c r="M19" s="8"/>
    </row>
    <row r="20" spans="9:13" x14ac:dyDescent="0.3">
      <c r="I20" s="47" t="s">
        <v>202</v>
      </c>
      <c r="J20" s="8">
        <f>SUM(L2:L16)</f>
        <v>67.422073824527757</v>
      </c>
      <c r="L20" s="47" t="s">
        <v>206</v>
      </c>
      <c r="M20" s="8">
        <f>SUMIF(G2:G16, 1, M2:M16)</f>
        <v>71.939584738943893</v>
      </c>
    </row>
    <row r="21" spans="9:13" x14ac:dyDescent="0.3">
      <c r="I21" s="47" t="s">
        <v>203</v>
      </c>
      <c r="J21" s="8">
        <f>AVERAGE(L2:L16)</f>
        <v>4.4948049216351835</v>
      </c>
      <c r="L21" s="47" t="s">
        <v>207</v>
      </c>
      <c r="M21" s="8">
        <f>SUMIF(G2:G16, 2, M2:M16)</f>
        <v>83.292743305293712</v>
      </c>
    </row>
    <row r="22" spans="9:13" x14ac:dyDescent="0.3">
      <c r="I22" s="47" t="s">
        <v>204</v>
      </c>
      <c r="J22" s="8">
        <f>MAX(L2:L16)</f>
        <v>23.763731486784792</v>
      </c>
      <c r="L22" s="47" t="s">
        <v>208</v>
      </c>
      <c r="M22" s="8">
        <f>MAX(K2:K16)</f>
        <v>183.41149679547013</v>
      </c>
    </row>
    <row r="23" spans="9:13" x14ac:dyDescent="0.3">
      <c r="L23" s="47" t="s">
        <v>209</v>
      </c>
      <c r="M23" s="8">
        <f>SUMIF(G2:G16, 1, F2:F16)</f>
        <v>102.59645917898342</v>
      </c>
    </row>
    <row r="24" spans="9:13" x14ac:dyDescent="0.3">
      <c r="L24" s="47" t="s">
        <v>210</v>
      </c>
      <c r="M24" s="8">
        <f>SUMIF(G2:G16, 2, F2:F16)</f>
        <v>100.11875349017639</v>
      </c>
    </row>
    <row r="25" spans="9:13" x14ac:dyDescent="0.3">
      <c r="L25" s="47" t="s">
        <v>211</v>
      </c>
      <c r="M25" s="8">
        <f>M20/M22</f>
        <v>0.39223050896949357</v>
      </c>
    </row>
    <row r="26" spans="9:13" x14ac:dyDescent="0.3">
      <c r="L26" s="47" t="s">
        <v>212</v>
      </c>
      <c r="M26" s="8">
        <f>M21/M22</f>
        <v>0.4541304376256029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72C2-B89E-409D-BE8D-7582A2AE57DA}">
  <dimension ref="A1:E33"/>
  <sheetViews>
    <sheetView workbookViewId="0">
      <selection activeCell="C25" sqref="C25"/>
    </sheetView>
  </sheetViews>
  <sheetFormatPr defaultRowHeight="14.4" x14ac:dyDescent="0.3"/>
  <sheetData>
    <row r="1" spans="1:5" x14ac:dyDescent="0.3">
      <c r="A1" t="s">
        <v>213</v>
      </c>
    </row>
    <row r="2" spans="1:5" x14ac:dyDescent="0.3">
      <c r="A2">
        <v>2753</v>
      </c>
      <c r="E2">
        <v>2753</v>
      </c>
    </row>
    <row r="3" spans="1:5" x14ac:dyDescent="0.3">
      <c r="A3">
        <v>0.27552110354930265</v>
      </c>
    </row>
    <row r="4" spans="1:5" x14ac:dyDescent="0.3">
      <c r="A4">
        <v>0.26178777428510391</v>
      </c>
      <c r="E4">
        <v>0.27552110354930265</v>
      </c>
    </row>
    <row r="5" spans="1:5" x14ac:dyDescent="0.3">
      <c r="A5">
        <v>0.50459303567613756</v>
      </c>
      <c r="E5">
        <v>0.26178777428510391</v>
      </c>
    </row>
    <row r="6" spans="1:5" x14ac:dyDescent="0.3">
      <c r="A6">
        <v>0.75109103671376687</v>
      </c>
      <c r="E6">
        <v>0.50459303567613756</v>
      </c>
    </row>
    <row r="7" spans="1:5" x14ac:dyDescent="0.3">
      <c r="A7">
        <v>0.84810937833796196</v>
      </c>
      <c r="E7">
        <v>0.75109103671376687</v>
      </c>
    </row>
    <row r="8" spans="1:5" x14ac:dyDescent="0.3">
      <c r="A8">
        <v>0.26380199591051973</v>
      </c>
      <c r="E8">
        <v>0.84810937833796196</v>
      </c>
    </row>
    <row r="9" spans="1:5" x14ac:dyDescent="0.3">
      <c r="A9">
        <v>0.74755088961455118</v>
      </c>
      <c r="E9">
        <v>0.26380199591051973</v>
      </c>
    </row>
    <row r="10" spans="1:5" x14ac:dyDescent="0.3">
      <c r="A10">
        <v>5.0569170201727347E-2</v>
      </c>
      <c r="E10">
        <v>0.74755088961455118</v>
      </c>
    </row>
    <row r="11" spans="1:5" x14ac:dyDescent="0.3">
      <c r="A11">
        <v>0.53840754417554249</v>
      </c>
      <c r="E11">
        <v>5.0569170201727347E-2</v>
      </c>
    </row>
    <row r="12" spans="1:5" x14ac:dyDescent="0.3">
      <c r="A12">
        <v>0.40498062074648272</v>
      </c>
      <c r="E12">
        <v>0.53840754417554249</v>
      </c>
    </row>
    <row r="13" spans="1:5" x14ac:dyDescent="0.3">
      <c r="A13">
        <v>0.75231177709280683</v>
      </c>
      <c r="E13">
        <v>0.40498062074648272</v>
      </c>
    </row>
    <row r="14" spans="1:5" x14ac:dyDescent="0.3">
      <c r="A14">
        <v>0.55815301980651266</v>
      </c>
      <c r="E14">
        <v>0.75231177709280683</v>
      </c>
    </row>
    <row r="15" spans="1:5" x14ac:dyDescent="0.3">
      <c r="A15">
        <v>3.012176885280923E-2</v>
      </c>
      <c r="E15">
        <v>0.55815301980651266</v>
      </c>
    </row>
    <row r="16" spans="1:5" x14ac:dyDescent="0.3">
      <c r="A16">
        <v>0.14639728995635853</v>
      </c>
      <c r="E16">
        <v>3.012176885280923E-2</v>
      </c>
    </row>
    <row r="17" spans="1:5" x14ac:dyDescent="0.3">
      <c r="A17">
        <v>9.887997070223091E-2</v>
      </c>
      <c r="E17">
        <v>0.14639728995635853</v>
      </c>
    </row>
    <row r="18" spans="1:5" x14ac:dyDescent="0.3">
      <c r="A18">
        <v>0.14371166112247077</v>
      </c>
      <c r="E18">
        <v>9.887997070223091E-2</v>
      </c>
    </row>
    <row r="19" spans="1:5" x14ac:dyDescent="0.3">
      <c r="A19">
        <v>0.38380077517014072</v>
      </c>
      <c r="E19">
        <v>0.14371166112247077</v>
      </c>
    </row>
    <row r="20" spans="1:5" x14ac:dyDescent="0.3">
      <c r="A20">
        <v>0.79537339396343887</v>
      </c>
      <c r="E20">
        <v>0.38380077517014072</v>
      </c>
    </row>
    <row r="21" spans="1:5" x14ac:dyDescent="0.3">
      <c r="A21">
        <v>0.89916684469130526</v>
      </c>
      <c r="E21">
        <v>0.79537339396343887</v>
      </c>
    </row>
    <row r="22" spans="1:5" x14ac:dyDescent="0.3">
      <c r="A22">
        <v>0.87066255684072391</v>
      </c>
      <c r="E22">
        <v>0.89916684469130526</v>
      </c>
    </row>
    <row r="23" spans="1:5" x14ac:dyDescent="0.3">
      <c r="E23">
        <v>0.87066255684072391</v>
      </c>
    </row>
    <row r="24" spans="1:5" x14ac:dyDescent="0.3">
      <c r="E24">
        <v>0.7125766777550584</v>
      </c>
    </row>
    <row r="25" spans="1:5" x14ac:dyDescent="0.3">
      <c r="E25">
        <v>0.60258796960356453</v>
      </c>
    </row>
    <row r="26" spans="1:5" x14ac:dyDescent="0.3">
      <c r="E26">
        <v>0.12994781334879604</v>
      </c>
    </row>
    <row r="27" spans="1:5" x14ac:dyDescent="0.3">
      <c r="E27">
        <v>0.12121951963866084</v>
      </c>
    </row>
    <row r="28" spans="1:5" x14ac:dyDescent="0.3">
      <c r="E28">
        <v>0.43058565019684436</v>
      </c>
    </row>
    <row r="29" spans="1:5" x14ac:dyDescent="0.3">
      <c r="E29">
        <v>0.14267403180028687</v>
      </c>
    </row>
    <row r="30" spans="1:5" x14ac:dyDescent="0.3">
      <c r="E30">
        <v>0.11673329874568926</v>
      </c>
    </row>
    <row r="31" spans="1:5" x14ac:dyDescent="0.3">
      <c r="E31">
        <v>0.27121799371318706</v>
      </c>
    </row>
    <row r="32" spans="1:5" x14ac:dyDescent="0.3">
      <c r="E32">
        <v>0.85448774681844542</v>
      </c>
    </row>
    <row r="33" spans="5:5" x14ac:dyDescent="0.3">
      <c r="E33">
        <v>0.63414410840174562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18C7FF49CD8284BB1DB224C9E181563" ma:contentTypeVersion="10" ma:contentTypeDescription="Create a new document." ma:contentTypeScope="" ma:versionID="9957f2f2c07eb9848fab03cc8b23a4a6">
  <xsd:schema xmlns:xsd="http://www.w3.org/2001/XMLSchema" xmlns:xs="http://www.w3.org/2001/XMLSchema" xmlns:p="http://schemas.microsoft.com/office/2006/metadata/properties" xmlns:ns3="ec842255-1225-496f-b1c6-5e034c43d5de" targetNamespace="http://schemas.microsoft.com/office/2006/metadata/properties" ma:root="true" ma:fieldsID="ce1ed41a55fbb272a404206f02527ef6" ns3:_="">
    <xsd:import namespace="ec842255-1225-496f-b1c6-5e034c43d5d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842255-1225-496f-b1c6-5e034c43d5d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c842255-1225-496f-b1c6-5e034c43d5d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4EB123-3BB2-44C1-AB27-A8F201AE02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842255-1225-496f-b1c6-5e034c43d5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BB7549-1663-495F-81A3-BA10771FEFDE}">
  <ds:schemaRefs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elements/1.1/"/>
    <ds:schemaRef ds:uri="ec842255-1225-496f-b1c6-5e034c43d5de"/>
    <ds:schemaRef ds:uri="http://purl.org/dc/dcmitype/"/>
    <ds:schemaRef ds:uri="http://purl.org/dc/terms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66F579C1-0A78-4A72-8BEB-DC8AD22ADB5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Data</vt:lpstr>
      <vt:lpstr>Section_2</vt:lpstr>
      <vt:lpstr>Section_3</vt:lpstr>
      <vt:lpstr>Section_4</vt:lpstr>
      <vt:lpstr>Answer Report 1</vt:lpstr>
      <vt:lpstr>Section_5</vt:lpstr>
      <vt:lpstr>Section_6</vt:lpstr>
      <vt:lpstr>Sheet1</vt:lpstr>
      <vt:lpstr>tblCalls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Devon Barrow (Management)</dc:creator>
  <cp:lastModifiedBy>Anindya Swain (MSc Business Analytics FT)</cp:lastModifiedBy>
  <dcterms:created xsi:type="dcterms:W3CDTF">2023-12-15T13:05:33Z</dcterms:created>
  <dcterms:modified xsi:type="dcterms:W3CDTF">2025-07-25T15:18:32Z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0x010100F18C7FF49CD8284BB1DB224C9E181563</vt:lpwstr>
  </property>
</Properties>
</file>